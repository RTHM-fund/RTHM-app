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Cashflow waterfall (12 yea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;($#,##0);-"/>
    <numFmt numFmtId="165" formatCode="mmm dd, yyyy"/>
    <numFmt numFmtId="166" formatCode="_(* #,##0_);_(* \(#,##0\);_(* &quot;-&quot;??_);_(@_)"/>
    <numFmt numFmtId="167" formatCode="0.0%"/>
    <numFmt numFmtId="168" formatCode="d/m/yyyy"/>
    <numFmt numFmtId="169" formatCode="#,##0;(#,##0);&quot;-&quot;"/>
  </numFmts>
  <fonts count="2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  <font>
      <name val="Calibri"/>
      <i val="1"/>
      <sz val="9"/>
    </font>
    <font>
      <name val="Aptos Narrow"/>
      <b val="1"/>
      <color rgb="FFFFFFFF"/>
      <sz val="8"/>
    </font>
    <font>
      <name val="Aptos Narrow"/>
      <color rgb="FF000000"/>
      <sz val="8"/>
    </font>
    <font>
      <name val="Aptos Narrow"/>
      <color rgb="FF0000FF"/>
      <sz val="8"/>
    </font>
    <font>
      <name val="Aptos Narrow"/>
      <b val="1"/>
      <color rgb="FF000000"/>
      <sz val="8"/>
    </font>
    <font>
      <name val="Aptos Narrow"/>
      <color theme="1"/>
      <sz val="11"/>
    </font>
    <font>
      <name val="Aptos Narrow"/>
      <b val="1"/>
      <color theme="1"/>
      <sz val="18"/>
    </font>
    <font>
      <name val="Aptos Narrow"/>
      <b val="1"/>
      <color theme="1"/>
      <sz val="11"/>
    </font>
    <font>
      <name val="Aptos Narrow"/>
      <b val="1"/>
      <color rgb="FF0000FF"/>
      <sz val="11"/>
    </font>
    <font>
      <name val="Aptos Narrow"/>
      <b val="1"/>
      <i val="1"/>
      <color theme="0"/>
      <sz val="11"/>
    </font>
    <font>
      <name val="Aptos Narrow"/>
      <i val="1"/>
      <color theme="1"/>
      <sz val="11"/>
    </font>
    <font>
      <name val="Aptos Narrow"/>
      <i val="1"/>
      <color rgb="FF0000FF"/>
      <sz val="11"/>
    </font>
    <font>
      <name val="Aptos Narrow"/>
      <b val="1"/>
      <i val="1"/>
      <color rgb="FF0000FF"/>
      <sz val="11"/>
    </font>
    <font>
      <name val="Aptos Narrow"/>
      <b val="1"/>
      <color theme="0"/>
      <sz val="11"/>
    </font>
    <font>
      <name val="Aptos Narrow"/>
      <color rgb="FF0000FF"/>
      <sz val="11"/>
    </font>
    <font>
      <name val="Aptos Narrow"/>
      <color rgb="FF3A7D22"/>
      <sz val="11"/>
    </font>
    <font>
      <name val="Aptos Narrow"/>
      <b val="1"/>
      <color rgb="FFFFFFFF"/>
      <sz val="11"/>
    </font>
    <font>
      <name val="Aptos Narrow"/>
      <color rgb="FF000000"/>
      <sz val="11"/>
    </font>
    <font>
      <name val="Aptos Narrow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FF000000"/>
      </patternFill>
    </fill>
    <fill>
      <patternFill patternType="solid">
        <fgColor rgb="FFCAEDFB"/>
      </patternFill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top style="thin">
        <color rgb="FF000000"/>
      </top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165" fontId="3" fillId="0" borderId="0" pivotButton="0" quotePrefix="0" xfId="0"/>
    <xf numFmtId="1" fontId="3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4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pivotButton="0" quotePrefix="0" xfId="0"/>
    <xf numFmtId="10" fontId="0" fillId="0" borderId="0" pivotButton="0" quotePrefix="0" xfId="0"/>
    <xf numFmtId="10" fontId="1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166" fontId="7" fillId="0" borderId="0" pivotButton="0" quotePrefix="0" xfId="0"/>
    <xf numFmtId="10" fontId="7" fillId="0" borderId="0" pivotButton="0" quotePrefix="0" xfId="0"/>
    <xf numFmtId="165" fontId="7" fillId="0" borderId="0" pivotButton="0" quotePrefix="0" xfId="0"/>
    <xf numFmtId="1" fontId="7" fillId="0" borderId="0" pivotButton="0" quotePrefix="0" xfId="0"/>
    <xf numFmtId="0" fontId="5" fillId="3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1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center"/>
    </xf>
    <xf numFmtId="166" fontId="6" fillId="0" borderId="0" pivotButton="0" quotePrefix="0" xfId="0"/>
    <xf numFmtId="0" fontId="8" fillId="4" borderId="0" pivotButton="0" quotePrefix="0" xfId="0"/>
    <xf numFmtId="166" fontId="8" fillId="4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0" fontId="8" fillId="0" borderId="1" pivotButton="0" quotePrefix="0" xfId="0"/>
    <xf numFmtId="166" fontId="8" fillId="0" borderId="1" applyAlignment="1" pivotButton="0" quotePrefix="0" xfId="0">
      <alignment horizontal="right"/>
    </xf>
    <xf numFmtId="10" fontId="6" fillId="0" borderId="0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center"/>
    </xf>
    <xf numFmtId="0" fontId="13" fillId="5" borderId="0" applyAlignment="1" pivotButton="0" quotePrefix="0" xfId="0">
      <alignment horizontal="centerContinuous"/>
    </xf>
    <xf numFmtId="0" fontId="10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right"/>
    </xf>
    <xf numFmtId="0" fontId="14" fillId="0" borderId="0" pivotButton="0" quotePrefix="0" xfId="0"/>
    <xf numFmtId="167" fontId="15" fillId="0" borderId="0" pivotButton="0" quotePrefix="0" xfId="0"/>
    <xf numFmtId="9" fontId="14" fillId="0" borderId="0" pivotButton="0" quotePrefix="0" xfId="0"/>
    <xf numFmtId="167" fontId="14" fillId="0" borderId="0" applyAlignment="1" pivotButton="0" quotePrefix="0" xfId="0">
      <alignment horizontal="right"/>
    </xf>
    <xf numFmtId="166" fontId="9" fillId="0" borderId="0" pivotButton="0" quotePrefix="0" xfId="0"/>
    <xf numFmtId="167" fontId="16" fillId="0" borderId="0" applyAlignment="1" pivotButton="0" quotePrefix="0" xfId="0">
      <alignment horizontal="right" vertical="center"/>
    </xf>
    <xf numFmtId="43" fontId="9" fillId="0" borderId="0" pivotButton="0" quotePrefix="0" xfId="0"/>
    <xf numFmtId="10" fontId="11" fillId="0" borderId="0" pivotButton="0" quotePrefix="0" xfId="0"/>
    <xf numFmtId="0" fontId="17" fillId="5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43" fontId="17" fillId="5" borderId="0" applyAlignment="1" pivotButton="0" quotePrefix="0" xfId="0">
      <alignment horizontal="right" wrapText="1"/>
    </xf>
    <xf numFmtId="0" fontId="9" fillId="0" borderId="0" applyAlignment="1" pivotButton="0" quotePrefix="0" xfId="0">
      <alignment horizontal="left"/>
    </xf>
    <xf numFmtId="168" fontId="18" fillId="0" borderId="0" pivotButton="0" quotePrefix="0" xfId="0"/>
    <xf numFmtId="168" fontId="9" fillId="0" borderId="0" pivotButton="0" quotePrefix="0" xfId="0"/>
    <xf numFmtId="166" fontId="19" fillId="0" borderId="0" pivotButton="0" quotePrefix="0" xfId="0"/>
    <xf numFmtId="3" fontId="9" fillId="0" borderId="0" pivotButton="0" quotePrefix="0" xfId="0"/>
    <xf numFmtId="0" fontId="20" fillId="3" borderId="0" pivotButton="0" quotePrefix="0" xfId="0"/>
    <xf numFmtId="0" fontId="21" fillId="0" borderId="0" pivotButton="0" quotePrefix="0" xfId="0"/>
    <xf numFmtId="166" fontId="18" fillId="0" borderId="0" pivotButton="0" quotePrefix="0" xfId="0"/>
    <xf numFmtId="10" fontId="18" fillId="0" borderId="0" pivotButton="0" quotePrefix="0" xfId="0"/>
    <xf numFmtId="165" fontId="18" fillId="0" borderId="0" pivotButton="0" quotePrefix="0" xfId="0"/>
    <xf numFmtId="1" fontId="18" fillId="0" borderId="0" pivotButton="0" quotePrefix="0" xfId="0"/>
    <xf numFmtId="0" fontId="20" fillId="3" borderId="0" applyAlignment="1" pivotButton="0" quotePrefix="0" xfId="0">
      <alignment horizontal="right"/>
    </xf>
    <xf numFmtId="0" fontId="20" fillId="3" borderId="0" applyAlignment="1" pivotButton="0" quotePrefix="0" xfId="0">
      <alignment horizontal="center"/>
    </xf>
    <xf numFmtId="1" fontId="21" fillId="0" borderId="0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165" fontId="21" fillId="0" borderId="0" applyAlignment="1" pivotButton="0" quotePrefix="0" xfId="0">
      <alignment horizontal="center"/>
    </xf>
    <xf numFmtId="166" fontId="21" fillId="0" borderId="0" pivotButton="0" quotePrefix="0" xfId="0"/>
    <xf numFmtId="0" fontId="22" fillId="4" borderId="0" pivotButton="0" quotePrefix="0" xfId="0"/>
    <xf numFmtId="166" fontId="22" fillId="4" borderId="0" applyAlignment="1" pivotButton="0" quotePrefix="0" xfId="0">
      <alignment horizontal="right"/>
    </xf>
    <xf numFmtId="166" fontId="21" fillId="0" borderId="0" applyAlignment="1" pivotButton="0" quotePrefix="0" xfId="0">
      <alignment horizontal="right"/>
    </xf>
    <xf numFmtId="0" fontId="22" fillId="0" borderId="1" pivotButton="0" quotePrefix="0" xfId="0"/>
    <xf numFmtId="166" fontId="22" fillId="0" borderId="1" applyAlignment="1" pivotButton="0" quotePrefix="0" xfId="0">
      <alignment horizontal="right"/>
    </xf>
    <xf numFmtId="10" fontId="21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21" fillId="0" borderId="0" applyAlignment="1" pivotButton="0" quotePrefix="0" xfId="0">
      <alignment horizontal="right"/>
    </xf>
    <xf numFmtId="169" fontId="2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C19"/>
  <sheetViews>
    <sheetView showGridLines="0" workbookViewId="0">
      <pane xSplit="11" ySplit="10" topLeftCell="L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.75" customWidth="1" min="1" max="1"/>
    <col width="15.12" customWidth="1" min="2" max="2"/>
    <col width="15.12" customWidth="1" min="3" max="3"/>
    <col width="15.12" customWidth="1" min="4" max="4"/>
    <col width="15.12" customWidth="1" min="5" max="5"/>
    <col width="15.12" customWidth="1" min="6" max="6"/>
    <col width="15.12" customWidth="1" min="7" max="7"/>
    <col width="15.12" customWidth="1" min="8" max="8"/>
    <col width="15.12" customWidth="1" min="9" max="9"/>
    <col width="2.75" customWidth="1" min="10" max="10"/>
    <col width="14.58" customWidth="1" min="11" max="11"/>
    <col width="12.38" customWidth="1" min="12" max="12"/>
    <col width="13.75" customWidth="1" min="13" max="13"/>
    <col width="13.75" customWidth="1" min="14" max="14"/>
    <col width="13.75" customWidth="1" min="15" max="15"/>
    <col width="13.75" customWidth="1" min="16" max="16"/>
    <col width="13.75" customWidth="1" min="17" max="17"/>
    <col width="13.75" customWidth="1" min="18" max="18"/>
    <col width="13.75" customWidth="1" min="19" max="19"/>
    <col width="13.75" customWidth="1" min="20" max="20"/>
    <col width="13.75" customWidth="1" min="21" max="21"/>
    <col width="13.75" customWidth="1" min="22" max="22"/>
    <col width="13.75" customWidth="1" min="23" max="23"/>
    <col width="13.75" customWidth="1" min="24" max="24"/>
    <col width="13.75" customWidth="1" min="25" max="25"/>
    <col width="13.75" customWidth="1" min="26" max="26"/>
    <col width="13.75" customWidth="1" min="27" max="27"/>
    <col width="13.75" customWidth="1" min="28" max="28"/>
    <col width="13.75" customWidth="1" min="29" max="29"/>
    <col width="13.75" customWidth="1" min="30" max="30"/>
    <col width="13.75" customWidth="1" min="31" max="31"/>
    <col width="13.75" customWidth="1" min="32" max="32"/>
    <col width="13.75" customWidth="1" min="33" max="33"/>
    <col width="13.75" customWidth="1" min="34" max="34"/>
    <col width="13.75" customWidth="1" min="35" max="35"/>
    <col width="13.75" customWidth="1" min="36" max="36"/>
    <col width="13.75" customWidth="1" min="37" max="37"/>
    <col width="13.75" customWidth="1" min="38" max="38"/>
    <col width="13.75" customWidth="1" min="39" max="39"/>
    <col width="13.75" customWidth="1" min="40" max="40"/>
    <col width="13.75" customWidth="1" min="41" max="41"/>
    <col width="13.75" customWidth="1" min="42" max="42"/>
    <col width="13.75" customWidth="1" min="43" max="43"/>
    <col width="13.75" customWidth="1" min="44" max="44"/>
    <col width="13.75" customWidth="1" min="45" max="45"/>
    <col width="13.75" customWidth="1" min="46" max="46"/>
    <col width="13.75" customWidth="1" min="47" max="47"/>
    <col width="13.75" customWidth="1" min="48" max="48"/>
    <col width="13.75" customWidth="1" min="49" max="49"/>
    <col width="13.75" customWidth="1" min="50" max="50"/>
    <col width="13.75" customWidth="1" min="51" max="51"/>
    <col width="13.75" customWidth="1" min="52" max="52"/>
    <col width="13.75" customWidth="1" min="53" max="53"/>
    <col width="13.75" customWidth="1" min="54" max="54"/>
    <col width="13.75" customWidth="1" min="55" max="55"/>
    <col width="13.75" customWidth="1" min="56" max="56"/>
    <col width="13.75" customWidth="1" min="57" max="57"/>
    <col width="13.75" customWidth="1" min="58" max="58"/>
    <col width="13.75" customWidth="1" min="59" max="59"/>
    <col width="13.75" customWidth="1" min="60" max="60"/>
    <col width="13.75" customWidth="1" min="61" max="61"/>
    <col width="13.75" customWidth="1" min="62" max="62"/>
    <col width="13.75" customWidth="1" min="63" max="63"/>
    <col width="13.75" customWidth="1" min="64" max="64"/>
    <col width="13.75" customWidth="1" min="65" max="65"/>
    <col width="13.75" customWidth="1" min="66" max="66"/>
    <col width="13.75" customWidth="1" min="67" max="67"/>
    <col width="13.75" customWidth="1" min="68" max="68"/>
    <col width="13.75" customWidth="1" min="69" max="69"/>
    <col width="13.75" customWidth="1" min="70" max="70"/>
    <col width="13.75" customWidth="1" min="71" max="71"/>
    <col width="13.75" customWidth="1" min="72" max="72"/>
    <col width="13.75" customWidth="1" min="73" max="73"/>
    <col width="13.75" customWidth="1" min="74" max="74"/>
    <col width="13.75" customWidth="1" min="75" max="75"/>
    <col width="13.75" customWidth="1" min="76" max="76"/>
    <col width="13.75" customWidth="1" min="77" max="77"/>
    <col width="13.75" customWidth="1" min="78" max="78"/>
    <col width="13.75" customWidth="1" min="79" max="79"/>
    <col width="13.75" customWidth="1" min="80" max="80"/>
    <col width="13.75" customWidth="1" min="81" max="81"/>
    <col width="13.75" customWidth="1" min="82" max="82"/>
    <col width="13.75" customWidth="1" min="83" max="83"/>
    <col width="13.75" customWidth="1" min="84" max="84"/>
    <col width="13.75" customWidth="1" min="85" max="85"/>
    <col width="13.75" customWidth="1" min="86" max="86"/>
    <col width="13.75" customWidth="1" min="87" max="87"/>
    <col width="13.75" customWidth="1" min="88" max="88"/>
    <col width="13.75" customWidth="1" min="89" max="89"/>
    <col width="13.75" customWidth="1" min="90" max="90"/>
    <col width="13.75" customWidth="1" min="91" max="91"/>
    <col width="13.75" customWidth="1" min="92" max="92"/>
    <col width="13.75" customWidth="1" min="93" max="93"/>
    <col width="13.75" customWidth="1" min="94" max="94"/>
    <col width="13.75" customWidth="1" min="95" max="95"/>
    <col width="13.75" customWidth="1" min="96" max="96"/>
    <col width="13.75" customWidth="1" min="97" max="97"/>
    <col width="13.75" customWidth="1" min="98" max="98"/>
    <col width="13.75" customWidth="1" min="99" max="99"/>
    <col width="13.75" customWidth="1" min="100" max="100"/>
    <col width="13.75" customWidth="1" min="101" max="101"/>
    <col width="13.75" customWidth="1" min="102" max="102"/>
    <col width="13.75" customWidth="1" min="103" max="103"/>
    <col width="13.75" customWidth="1" min="104" max="104"/>
    <col width="13.75" customWidth="1" min="105" max="105"/>
    <col width="13.75" customWidth="1" min="106" max="106"/>
    <col width="13.75" customWidth="1" min="107" max="107"/>
    <col width="13.75" customWidth="1" min="108" max="108"/>
    <col width="13.75" customWidth="1" min="109" max="109"/>
    <col width="13.75" customWidth="1" min="110" max="110"/>
    <col width="13.75" customWidth="1" min="111" max="111"/>
    <col width="13.75" customWidth="1" min="112" max="112"/>
    <col width="13.75" customWidth="1" min="113" max="113"/>
    <col width="13.75" customWidth="1" min="114" max="114"/>
    <col width="13.75" customWidth="1" min="115" max="115"/>
    <col width="13.75" customWidth="1" min="116" max="116"/>
    <col width="13.75" customWidth="1" min="117" max="117"/>
    <col width="13.75" customWidth="1" min="118" max="118"/>
    <col width="13.75" customWidth="1" min="119" max="119"/>
    <col width="13.75" customWidth="1" min="120" max="120"/>
    <col width="13.75" customWidth="1" min="121" max="121"/>
    <col width="13.75" customWidth="1" min="122" max="122"/>
    <col width="13.75" customWidth="1" min="123" max="123"/>
    <col width="13.75" customWidth="1" min="124" max="124"/>
    <col width="13.75" customWidth="1" min="125" max="125"/>
    <col width="13.75" customWidth="1" min="126" max="126"/>
    <col width="13.75" customWidth="1" min="127" max="127"/>
    <col width="13.75" customWidth="1" min="128" max="128"/>
    <col width="13.75" customWidth="1" min="129" max="129"/>
    <col width="13.75" customWidth="1" min="130" max="130"/>
    <col width="13.75" customWidth="1" min="131" max="131"/>
    <col width="13.75" customWidth="1" min="132" max="132"/>
    <col width="13.75" customWidth="1" min="133" max="133"/>
    <col width="13.75" customWidth="1" min="134" max="134"/>
    <col width="13.75" customWidth="1" min="135" max="135"/>
    <col width="13.75" customWidth="1" min="136" max="136"/>
    <col width="13.75" customWidth="1" min="137" max="137"/>
    <col width="13.75" customWidth="1" min="138" max="138"/>
    <col width="13.75" customWidth="1" min="139" max="139"/>
    <col width="13.75" customWidth="1" min="140" max="140"/>
    <col width="13.75" customWidth="1" min="141" max="141"/>
    <col width="13.75" customWidth="1" min="142" max="142"/>
    <col width="13.75" customWidth="1" min="143" max="143"/>
    <col width="13.75" customWidth="1" min="144" max="144"/>
    <col width="13.75" customWidth="1" min="145" max="145"/>
    <col width="13.75" customWidth="1" min="146" max="146"/>
    <col width="13.75" customWidth="1" min="147" max="147"/>
    <col width="13.75" customWidth="1" min="148" max="148"/>
    <col width="13.75" customWidth="1" min="149" max="149"/>
    <col width="13.75" customWidth="1" min="150" max="150"/>
    <col width="13.75" customWidth="1" min="151" max="151"/>
    <col width="13.75" customWidth="1" min="152" max="152"/>
    <col width="13.75" customWidth="1" min="153" max="153"/>
    <col width="13.75" customWidth="1" min="154" max="154"/>
    <col width="13.75" customWidth="1" min="155" max="155"/>
    <col width="13.75" customWidth="1" min="156" max="156"/>
    <col width="13.75" customWidth="1" min="157" max="157"/>
    <col width="13.75" customWidth="1" min="158" max="158"/>
    <col width="13.75" customWidth="1" min="159" max="159"/>
    <col width="13.75" customWidth="1" min="160" max="160"/>
    <col width="13.75" customWidth="1" min="161" max="161"/>
    <col width="13.75" customWidth="1" min="162" max="162"/>
    <col width="13.75" customWidth="1" min="163" max="163"/>
    <col width="13.75" customWidth="1" min="164" max="164"/>
    <col width="13.75" customWidth="1" min="165" max="165"/>
    <col width="13.75" customWidth="1" min="166" max="166"/>
    <col width="13.75" customWidth="1" min="167" max="167"/>
    <col width="13.75" customWidth="1" min="168" max="168"/>
    <col width="13.75" customWidth="1" min="169" max="169"/>
    <col width="13.75" customWidth="1" min="170" max="170"/>
    <col width="13.75" customWidth="1" min="171" max="171"/>
    <col width="13.75" customWidth="1" min="172" max="172"/>
    <col width="13.75" customWidth="1" min="173" max="173"/>
    <col width="13.75" customWidth="1" min="174" max="174"/>
    <col width="13.75" customWidth="1" min="175" max="175"/>
    <col width="13.75" customWidth="1" min="176" max="176"/>
    <col width="13.75" customWidth="1" min="177" max="177"/>
    <col width="13.75" customWidth="1" min="178" max="178"/>
    <col width="13.75" customWidth="1" min="179" max="179"/>
    <col width="13.75" customWidth="1" min="180" max="180"/>
    <col width="13.75" customWidth="1" min="181" max="181"/>
    <col width="13.75" customWidth="1" min="182" max="182"/>
    <col width="13.75" customWidth="1" min="183" max="183"/>
    <col width="13.75" customWidth="1" min="184" max="184"/>
    <col width="13.75" customWidth="1" min="185" max="185"/>
    <col width="13.75" customWidth="1" min="186" max="186"/>
    <col width="13.75" customWidth="1" min="187" max="187"/>
    <col width="13.75" customWidth="1" min="188" max="188"/>
    <col width="13.75" customWidth="1" min="189" max="189"/>
    <col width="13.75" customWidth="1" min="190" max="190"/>
    <col width="13.75" customWidth="1" min="191" max="191"/>
    <col width="13.75" customWidth="1" min="192" max="192"/>
    <col width="13.75" customWidth="1" min="193" max="193"/>
    <col width="13.75" customWidth="1" min="194" max="194"/>
    <col width="13.75" customWidth="1" min="195" max="195"/>
    <col width="13.75" customWidth="1" min="196" max="196"/>
    <col width="13.75" customWidth="1" min="197" max="197"/>
    <col width="13.75" customWidth="1" min="198" max="198"/>
    <col width="13.75" customWidth="1" min="199" max="199"/>
    <col width="13.75" customWidth="1" min="200" max="200"/>
    <col width="13.75" customWidth="1" min="201" max="201"/>
    <col width="13.75" customWidth="1" min="202" max="202"/>
    <col width="13.75" customWidth="1" min="203" max="203"/>
    <col width="13.75" customWidth="1" min="204" max="204"/>
    <col width="13.75" customWidth="1" min="205" max="205"/>
    <col width="13.75" customWidth="1" min="206" max="206"/>
    <col width="13.75" customWidth="1" min="207" max="207"/>
    <col width="13.75" customWidth="1" min="208" max="208"/>
    <col width="13.75" customWidth="1" min="209" max="209"/>
    <col width="13.75" customWidth="1" min="210" max="210"/>
    <col width="13.75" customWidth="1" min="211" max="211"/>
  </cols>
  <sheetData>
    <row r="1">
      <c r="A1" s="58" t="inlineStr">
        <is>
          <t>Inputs</t>
        </is>
      </c>
      <c r="B1" s="58" t="n"/>
    </row>
    <row r="2">
      <c r="A2" s="59" t="inlineStr">
        <is>
          <t>Other Fees</t>
        </is>
      </c>
      <c r="B2" s="60" t="n">
        <v>0</v>
      </c>
    </row>
    <row r="3">
      <c r="A3" s="59" t="inlineStr">
        <is>
          <t>Referral %</t>
        </is>
      </c>
      <c r="B3" s="61" t="n">
        <v>0.01</v>
      </c>
    </row>
    <row r="4">
      <c r="A4" s="59" t="inlineStr">
        <is>
          <t>Target IRR</t>
        </is>
      </c>
      <c r="B4" s="61" t="n">
        <v>0.3</v>
      </c>
    </row>
    <row r="5">
      <c r="A5" s="59" t="inlineStr">
        <is>
          <t>Investment Date</t>
        </is>
      </c>
      <c r="B5" s="62">
        <f>TODAY()+15</f>
        <v/>
      </c>
    </row>
    <row r="6">
      <c r="A6" s="59" t="inlineStr">
        <is>
          <t>1st Royalty Pmnt</t>
        </is>
      </c>
      <c r="B6" s="62" t="n"/>
    </row>
    <row r="7">
      <c r="A7" s="59" t="inlineStr">
        <is>
          <t>1st Forecast Half</t>
        </is>
      </c>
      <c r="B7" s="62">
        <f>B5-60</f>
        <v/>
      </c>
    </row>
    <row r="8">
      <c r="A8" s="59" t="inlineStr">
        <is>
          <t>Step (months)</t>
        </is>
      </c>
      <c r="B8" s="63" t="n">
        <v>1</v>
      </c>
    </row>
    <row r="9">
      <c r="A9" s="59" t="inlineStr">
        <is>
          <t>Req Advance</t>
        </is>
      </c>
      <c r="B9" s="60" t="n">
        <v>15000</v>
      </c>
    </row>
    <row r="11">
      <c r="A11" s="58" t="inlineStr">
        <is>
          <t>Scenario Summary</t>
        </is>
      </c>
      <c r="B11" s="64" t="inlineStr">
        <is>
          <t>18m</t>
        </is>
      </c>
      <c r="C11" s="64" t="inlineStr">
        <is>
          <t>24m</t>
        </is>
      </c>
      <c r="D11" s="64" t="inlineStr">
        <is>
          <t>36m</t>
        </is>
      </c>
      <c r="E11" s="64" t="inlineStr">
        <is>
          <t>48m</t>
        </is>
      </c>
      <c r="F11" s="64" t="inlineStr">
        <is>
          <t>60m</t>
        </is>
      </c>
      <c r="G11" s="64" t="inlineStr">
        <is>
          <t>84m</t>
        </is>
      </c>
      <c r="H11" s="64" t="inlineStr">
        <is>
          <t>144m</t>
        </is>
      </c>
      <c r="I11" s="64" t="inlineStr">
        <is>
          <t>Req</t>
        </is>
      </c>
      <c r="K11" s="64" t="inlineStr">
        <is>
          <t>Forecasted Cash</t>
        </is>
      </c>
      <c r="L11" s="64">
        <f>LET(d,EDATE($B$6,(COLUMN()-COLUMN($L$11))*$B$8),IF($B$8=1,TEXT(d,"MMM YY"),IF($B$8=3,"Q"&amp;ROUNDUP(MONTH(d)/3,0)&amp;"'"&amp;RIGHT(YEAR(d),2),"H"&amp;IF(MONTH(d)&lt;=6,1,2)&amp;"'"&amp;RIGHT(YEAR(d),2))))</f>
        <v/>
      </c>
      <c r="M11" s="76">
        <f>LET(d,EDATE($B$6,(COLUMN()-COLUMN($L$11))*$B$8),IF($B$8=1,TEXT(d,"MMM YY"),IF($B$8=3,"Q"&amp;ROUNDUP(MONTH(d)/3,0)&amp;"'"&amp;RIGHT(YEAR(d),2),"H"&amp;IF(MONTH(d)&lt;=6,1,2)&amp;"'"&amp;RIGHT(YEAR(d),2))))</f>
        <v/>
      </c>
      <c r="N11" s="76">
        <f>LET(d,EDATE($B$6,(COLUMN()-COLUMN($L$11))*$B$8),IF($B$8=1,TEXT(d,"MMM YY"),IF($B$8=3,"Q"&amp;ROUNDUP(MONTH(d)/3,0)&amp;"'"&amp;RIGHT(YEAR(d),2),"H"&amp;IF(MONTH(d)&lt;=6,1,2)&amp;"'"&amp;RIGHT(YEAR(d),2))))</f>
        <v/>
      </c>
      <c r="O11" s="76">
        <f>LET(d,EDATE($B$6,(COLUMN()-COLUMN($L$11))*$B$8),IF($B$8=1,TEXT(d,"MMM YY"),IF($B$8=3,"Q"&amp;ROUNDUP(MONTH(d)/3,0)&amp;"'"&amp;RIGHT(YEAR(d),2),"H"&amp;IF(MONTH(d)&lt;=6,1,2)&amp;"'"&amp;RIGHT(YEAR(d),2))))</f>
        <v/>
      </c>
      <c r="P11" s="76">
        <f>LET(d,EDATE($B$6,(COLUMN()-COLUMN($L$11))*$B$8),IF($B$8=1,TEXT(d,"MMM YY"),IF($B$8=3,"Q"&amp;ROUNDUP(MONTH(d)/3,0)&amp;"'"&amp;RIGHT(YEAR(d),2),"H"&amp;IF(MONTH(d)&lt;=6,1,2)&amp;"'"&amp;RIGHT(YEAR(d),2))))</f>
        <v/>
      </c>
      <c r="Q11" s="76">
        <f>LET(d,EDATE($B$6,(COLUMN()-COLUMN($L$11))*$B$8),IF($B$8=1,TEXT(d,"MMM YY"),IF($B$8=3,"Q"&amp;ROUNDUP(MONTH(d)/3,0)&amp;"'"&amp;RIGHT(YEAR(d),2),"H"&amp;IF(MONTH(d)&lt;=6,1,2)&amp;"'"&amp;RIGHT(YEAR(d),2))))</f>
        <v/>
      </c>
      <c r="R11" s="76">
        <f>LET(d,EDATE($B$6,(COLUMN()-COLUMN($L$11))*$B$8),IF($B$8=1,TEXT(d,"MMM YY"),IF($B$8=3,"Q"&amp;ROUNDUP(MONTH(d)/3,0)&amp;"'"&amp;RIGHT(YEAR(d),2),"H"&amp;IF(MONTH(d)&lt;=6,1,2)&amp;"'"&amp;RIGHT(YEAR(d),2))))</f>
        <v/>
      </c>
      <c r="S11" s="76">
        <f>LET(d,EDATE($B$6,(COLUMN()-COLUMN($L$11))*$B$8),IF($B$8=1,TEXT(d,"MMM YY"),IF($B$8=3,"Q"&amp;ROUNDUP(MONTH(d)/3,0)&amp;"'"&amp;RIGHT(YEAR(d),2),"H"&amp;IF(MONTH(d)&lt;=6,1,2)&amp;"'"&amp;RIGHT(YEAR(d),2))))</f>
        <v/>
      </c>
      <c r="T11" s="76">
        <f>LET(d,EDATE($B$6,(COLUMN()-COLUMN($L$11))*$B$8),IF($B$8=1,TEXT(d,"MMM YY"),IF($B$8=3,"Q"&amp;ROUNDUP(MONTH(d)/3,0)&amp;"'"&amp;RIGHT(YEAR(d),2),"H"&amp;IF(MONTH(d)&lt;=6,1,2)&amp;"'"&amp;RIGHT(YEAR(d),2))))</f>
        <v/>
      </c>
      <c r="U11" s="76">
        <f>LET(d,EDATE($B$6,(COLUMN()-COLUMN($L$11))*$B$8),IF($B$8=1,TEXT(d,"MMM YY"),IF($B$8=3,"Q"&amp;ROUNDUP(MONTH(d)/3,0)&amp;"'"&amp;RIGHT(YEAR(d),2),"H"&amp;IF(MONTH(d)&lt;=6,1,2)&amp;"'"&amp;RIGHT(YEAR(d),2))))</f>
        <v/>
      </c>
      <c r="V11" s="76">
        <f>LET(d,EDATE($B$6,(COLUMN()-COLUMN($L$11))*$B$8),IF($B$8=1,TEXT(d,"MMM YY"),IF($B$8=3,"Q"&amp;ROUNDUP(MONTH(d)/3,0)&amp;"'"&amp;RIGHT(YEAR(d),2),"H"&amp;IF(MONTH(d)&lt;=6,1,2)&amp;"'"&amp;RIGHT(YEAR(d),2))))</f>
        <v/>
      </c>
      <c r="W11" s="76">
        <f>LET(d,EDATE($B$6,(COLUMN()-COLUMN($L$11))*$B$8),IF($B$8=1,TEXT(d,"MMM YY"),IF($B$8=3,"Q"&amp;ROUNDUP(MONTH(d)/3,0)&amp;"'"&amp;RIGHT(YEAR(d),2),"H"&amp;IF(MONTH(d)&lt;=6,1,2)&amp;"'"&amp;RIGHT(YEAR(d),2))))</f>
        <v/>
      </c>
      <c r="X11" s="76">
        <f>LET(d,EDATE($B$6,(COLUMN()-COLUMN($L$11))*$B$8),IF($B$8=1,TEXT(d,"MMM YY"),IF($B$8=3,"Q"&amp;ROUNDUP(MONTH(d)/3,0)&amp;"'"&amp;RIGHT(YEAR(d),2),"H"&amp;IF(MONTH(d)&lt;=6,1,2)&amp;"'"&amp;RIGHT(YEAR(d),2))))</f>
        <v/>
      </c>
      <c r="Y11" s="76">
        <f>LET(d,EDATE($B$6,(COLUMN()-COLUMN($L$11))*$B$8),IF($B$8=1,TEXT(d,"MMM YY"),IF($B$8=3,"Q"&amp;ROUNDUP(MONTH(d)/3,0)&amp;"'"&amp;RIGHT(YEAR(d),2),"H"&amp;IF(MONTH(d)&lt;=6,1,2)&amp;"'"&amp;RIGHT(YEAR(d),2))))</f>
        <v/>
      </c>
      <c r="Z11" s="76">
        <f>LET(d,EDATE($B$6,(COLUMN()-COLUMN($L$11))*$B$8),IF($B$8=1,TEXT(d,"MMM YY"),IF($B$8=3,"Q"&amp;ROUNDUP(MONTH(d)/3,0)&amp;"'"&amp;RIGHT(YEAR(d),2),"H"&amp;IF(MONTH(d)&lt;=6,1,2)&amp;"'"&amp;RIGHT(YEAR(d),2))))</f>
        <v/>
      </c>
      <c r="AA11" s="76">
        <f>LET(d,EDATE($B$6,(COLUMN()-COLUMN($L$11))*$B$8),IF($B$8=1,TEXT(d,"MMM YY"),IF($B$8=3,"Q"&amp;ROUNDUP(MONTH(d)/3,0)&amp;"'"&amp;RIGHT(YEAR(d),2),"H"&amp;IF(MONTH(d)&lt;=6,1,2)&amp;"'"&amp;RIGHT(YEAR(d),2))))</f>
        <v/>
      </c>
      <c r="AB11" s="76">
        <f>LET(d,EDATE($B$6,(COLUMN()-COLUMN($L$11))*$B$8),IF($B$8=1,TEXT(d,"MMM YY"),IF($B$8=3,"Q"&amp;ROUNDUP(MONTH(d)/3,0)&amp;"'"&amp;RIGHT(YEAR(d),2),"H"&amp;IF(MONTH(d)&lt;=6,1,2)&amp;"'"&amp;RIGHT(YEAR(d),2))))</f>
        <v/>
      </c>
      <c r="AC11" s="76">
        <f>LET(d,EDATE($B$6,(COLUMN()-COLUMN($L$11))*$B$8),IF($B$8=1,TEXT(d,"MMM YY"),IF($B$8=3,"Q"&amp;ROUNDUP(MONTH(d)/3,0)&amp;"'"&amp;RIGHT(YEAR(d),2),"H"&amp;IF(MONTH(d)&lt;=6,1,2)&amp;"'"&amp;RIGHT(YEAR(d),2))))</f>
        <v/>
      </c>
      <c r="AD11" s="76">
        <f>LET(d,EDATE($B$6,(COLUMN()-COLUMN($L$11))*$B$8),IF($B$8=1,TEXT(d,"MMM YY"),IF($B$8=3,"Q"&amp;ROUNDUP(MONTH(d)/3,0)&amp;"'"&amp;RIGHT(YEAR(d),2),"H"&amp;IF(MONTH(d)&lt;=6,1,2)&amp;"'"&amp;RIGHT(YEAR(d),2))))</f>
        <v/>
      </c>
      <c r="AE11" s="76">
        <f>LET(d,EDATE($B$6,(COLUMN()-COLUMN($L$11))*$B$8),IF($B$8=1,TEXT(d,"MMM YY"),IF($B$8=3,"Q"&amp;ROUNDUP(MONTH(d)/3,0)&amp;"'"&amp;RIGHT(YEAR(d),2),"H"&amp;IF(MONTH(d)&lt;=6,1,2)&amp;"'"&amp;RIGHT(YEAR(d),2))))</f>
        <v/>
      </c>
      <c r="AF11" s="76">
        <f>LET(d,EDATE($B$6,(COLUMN()-COLUMN($L$11))*$B$8),IF($B$8=1,TEXT(d,"MMM YY"),IF($B$8=3,"Q"&amp;ROUNDUP(MONTH(d)/3,0)&amp;"'"&amp;RIGHT(YEAR(d),2),"H"&amp;IF(MONTH(d)&lt;=6,1,2)&amp;"'"&amp;RIGHT(YEAR(d),2))))</f>
        <v/>
      </c>
      <c r="AG11" s="76">
        <f>LET(d,EDATE($B$6,(COLUMN()-COLUMN($L$11))*$B$8),IF($B$8=1,TEXT(d,"MMM YY"),IF($B$8=3,"Q"&amp;ROUNDUP(MONTH(d)/3,0)&amp;"'"&amp;RIGHT(YEAR(d),2),"H"&amp;IF(MONTH(d)&lt;=6,1,2)&amp;"'"&amp;RIGHT(YEAR(d),2))))</f>
        <v/>
      </c>
      <c r="AH11" s="76">
        <f>LET(d,EDATE($B$6,(COLUMN()-COLUMN($L$11))*$B$8),IF($B$8=1,TEXT(d,"MMM YY"),IF($B$8=3,"Q"&amp;ROUNDUP(MONTH(d)/3,0)&amp;"'"&amp;RIGHT(YEAR(d),2),"H"&amp;IF(MONTH(d)&lt;=6,1,2)&amp;"'"&amp;RIGHT(YEAR(d),2))))</f>
        <v/>
      </c>
      <c r="AI11" s="76">
        <f>LET(d,EDATE($B$6,(COLUMN()-COLUMN($L$11))*$B$8),IF($B$8=1,TEXT(d,"MMM YY"),IF($B$8=3,"Q"&amp;ROUNDUP(MONTH(d)/3,0)&amp;"'"&amp;RIGHT(YEAR(d),2),"H"&amp;IF(MONTH(d)&lt;=6,1,2)&amp;"'"&amp;RIGHT(YEAR(d),2))))</f>
        <v/>
      </c>
      <c r="AJ11" s="76">
        <f>LET(d,EDATE($B$6,(COLUMN()-COLUMN($L$11))*$B$8),IF($B$8=1,TEXT(d,"MMM YY"),IF($B$8=3,"Q"&amp;ROUNDUP(MONTH(d)/3,0)&amp;"'"&amp;RIGHT(YEAR(d),2),"H"&amp;IF(MONTH(d)&lt;=6,1,2)&amp;"'"&amp;RIGHT(YEAR(d),2))))</f>
        <v/>
      </c>
      <c r="AK11" s="76">
        <f>LET(d,EDATE($B$6,(COLUMN()-COLUMN($L$11))*$B$8),IF($B$8=1,TEXT(d,"MMM YY"),IF($B$8=3,"Q"&amp;ROUNDUP(MONTH(d)/3,0)&amp;"'"&amp;RIGHT(YEAR(d),2),"H"&amp;IF(MONTH(d)&lt;=6,1,2)&amp;"'"&amp;RIGHT(YEAR(d),2))))</f>
        <v/>
      </c>
      <c r="AL11" s="76">
        <f>LET(d,EDATE($B$6,(COLUMN()-COLUMN($L$11))*$B$8),IF($B$8=1,TEXT(d,"MMM YY"),IF($B$8=3,"Q"&amp;ROUNDUP(MONTH(d)/3,0)&amp;"'"&amp;RIGHT(YEAR(d),2),"H"&amp;IF(MONTH(d)&lt;=6,1,2)&amp;"'"&amp;RIGHT(YEAR(d),2))))</f>
        <v/>
      </c>
      <c r="AM11" s="76">
        <f>LET(d,EDATE($B$6,(COLUMN()-COLUMN($L$11))*$B$8),IF($B$8=1,TEXT(d,"MMM YY"),IF($B$8=3,"Q"&amp;ROUNDUP(MONTH(d)/3,0)&amp;"'"&amp;RIGHT(YEAR(d),2),"H"&amp;IF(MONTH(d)&lt;=6,1,2)&amp;"'"&amp;RIGHT(YEAR(d),2))))</f>
        <v/>
      </c>
      <c r="AN11" s="76">
        <f>LET(d,EDATE($B$6,(COLUMN()-COLUMN($L$11))*$B$8),IF($B$8=1,TEXT(d,"MMM YY"),IF($B$8=3,"Q"&amp;ROUNDUP(MONTH(d)/3,0)&amp;"'"&amp;RIGHT(YEAR(d),2),"H"&amp;IF(MONTH(d)&lt;=6,1,2)&amp;"'"&amp;RIGHT(YEAR(d),2))))</f>
        <v/>
      </c>
      <c r="AO11" s="76">
        <f>LET(d,EDATE($B$6,(COLUMN()-COLUMN($L$11))*$B$8),IF($B$8=1,TEXT(d,"MMM YY"),IF($B$8=3,"Q"&amp;ROUNDUP(MONTH(d)/3,0)&amp;"'"&amp;RIGHT(YEAR(d),2),"H"&amp;IF(MONTH(d)&lt;=6,1,2)&amp;"'"&amp;RIGHT(YEAR(d),2))))</f>
        <v/>
      </c>
      <c r="AP11" s="76">
        <f>LET(d,EDATE($B$6,(COLUMN()-COLUMN($L$11))*$B$8),IF($B$8=1,TEXT(d,"MMM YY"),IF($B$8=3,"Q"&amp;ROUNDUP(MONTH(d)/3,0)&amp;"'"&amp;RIGHT(YEAR(d),2),"H"&amp;IF(MONTH(d)&lt;=6,1,2)&amp;"'"&amp;RIGHT(YEAR(d),2))))</f>
        <v/>
      </c>
      <c r="AQ11" s="76">
        <f>LET(d,EDATE($B$6,(COLUMN()-COLUMN($L$11))*$B$8),IF($B$8=1,TEXT(d,"MMM YY"),IF($B$8=3,"Q"&amp;ROUNDUP(MONTH(d)/3,0)&amp;"'"&amp;RIGHT(YEAR(d),2),"H"&amp;IF(MONTH(d)&lt;=6,1,2)&amp;"'"&amp;RIGHT(YEAR(d),2))))</f>
        <v/>
      </c>
      <c r="AR11" s="76">
        <f>LET(d,EDATE($B$6,(COLUMN()-COLUMN($L$11))*$B$8),IF($B$8=1,TEXT(d,"MMM YY"),IF($B$8=3,"Q"&amp;ROUNDUP(MONTH(d)/3,0)&amp;"'"&amp;RIGHT(YEAR(d),2),"H"&amp;IF(MONTH(d)&lt;=6,1,2)&amp;"'"&amp;RIGHT(YEAR(d),2))))</f>
        <v/>
      </c>
      <c r="AS11" s="76">
        <f>LET(d,EDATE($B$6,(COLUMN()-COLUMN($L$11))*$B$8),IF($B$8=1,TEXT(d,"MMM YY"),IF($B$8=3,"Q"&amp;ROUNDUP(MONTH(d)/3,0)&amp;"'"&amp;RIGHT(YEAR(d),2),"H"&amp;IF(MONTH(d)&lt;=6,1,2)&amp;"'"&amp;RIGHT(YEAR(d),2))))</f>
        <v/>
      </c>
      <c r="AT11" s="76">
        <f>LET(d,EDATE($B$6,(COLUMN()-COLUMN($L$11))*$B$8),IF($B$8=1,TEXT(d,"MMM YY"),IF($B$8=3,"Q"&amp;ROUNDUP(MONTH(d)/3,0)&amp;"'"&amp;RIGHT(YEAR(d),2),"H"&amp;IF(MONTH(d)&lt;=6,1,2)&amp;"'"&amp;RIGHT(YEAR(d),2))))</f>
        <v/>
      </c>
      <c r="AU11" s="76">
        <f>LET(d,EDATE($B$6,(COLUMN()-COLUMN($L$11))*$B$8),IF($B$8=1,TEXT(d,"MMM YY"),IF($B$8=3,"Q"&amp;ROUNDUP(MONTH(d)/3,0)&amp;"'"&amp;RIGHT(YEAR(d),2),"H"&amp;IF(MONTH(d)&lt;=6,1,2)&amp;"'"&amp;RIGHT(YEAR(d),2))))</f>
        <v/>
      </c>
      <c r="AV11" s="76">
        <f>LET(d,EDATE($B$6,(COLUMN()-COLUMN($L$11))*$B$8),IF($B$8=1,TEXT(d,"MMM YY"),IF($B$8=3,"Q"&amp;ROUNDUP(MONTH(d)/3,0)&amp;"'"&amp;RIGHT(YEAR(d),2),"H"&amp;IF(MONTH(d)&lt;=6,1,2)&amp;"'"&amp;RIGHT(YEAR(d),2))))</f>
        <v/>
      </c>
      <c r="AW11" s="76">
        <f>LET(d,EDATE($B$6,(COLUMN()-COLUMN($L$11))*$B$8),IF($B$8=1,TEXT(d,"MMM YY"),IF($B$8=3,"Q"&amp;ROUNDUP(MONTH(d)/3,0)&amp;"'"&amp;RIGHT(YEAR(d),2),"H"&amp;IF(MONTH(d)&lt;=6,1,2)&amp;"'"&amp;RIGHT(YEAR(d),2))))</f>
        <v/>
      </c>
      <c r="AX11" s="76">
        <f>LET(d,EDATE($B$6,(COLUMN()-COLUMN($L$11))*$B$8),IF($B$8=1,TEXT(d,"MMM YY"),IF($B$8=3,"Q"&amp;ROUNDUP(MONTH(d)/3,0)&amp;"'"&amp;RIGHT(YEAR(d),2),"H"&amp;IF(MONTH(d)&lt;=6,1,2)&amp;"'"&amp;RIGHT(YEAR(d),2))))</f>
        <v/>
      </c>
      <c r="AY11" s="76">
        <f>LET(d,EDATE($B$6,(COLUMN()-COLUMN($L$11))*$B$8),IF($B$8=1,TEXT(d,"MMM YY"),IF($B$8=3,"Q"&amp;ROUNDUP(MONTH(d)/3,0)&amp;"'"&amp;RIGHT(YEAR(d),2),"H"&amp;IF(MONTH(d)&lt;=6,1,2)&amp;"'"&amp;RIGHT(YEAR(d),2))))</f>
        <v/>
      </c>
      <c r="AZ11" s="76">
        <f>LET(d,EDATE($B$6,(COLUMN()-COLUMN($L$11))*$B$8),IF($B$8=1,TEXT(d,"MMM YY"),IF($B$8=3,"Q"&amp;ROUNDUP(MONTH(d)/3,0)&amp;"'"&amp;RIGHT(YEAR(d),2),"H"&amp;IF(MONTH(d)&lt;=6,1,2)&amp;"'"&amp;RIGHT(YEAR(d),2))))</f>
        <v/>
      </c>
      <c r="BA11" s="76">
        <f>LET(d,EDATE($B$6,(COLUMN()-COLUMN($L$11))*$B$8),IF($B$8=1,TEXT(d,"MMM YY"),IF($B$8=3,"Q"&amp;ROUNDUP(MONTH(d)/3,0)&amp;"'"&amp;RIGHT(YEAR(d),2),"H"&amp;IF(MONTH(d)&lt;=6,1,2)&amp;"'"&amp;RIGHT(YEAR(d),2))))</f>
        <v/>
      </c>
      <c r="BB11" s="76">
        <f>LET(d,EDATE($B$6,(COLUMN()-COLUMN($L$11))*$B$8),IF($B$8=1,TEXT(d,"MMM YY"),IF($B$8=3,"Q"&amp;ROUNDUP(MONTH(d)/3,0)&amp;"'"&amp;RIGHT(YEAR(d),2),"H"&amp;IF(MONTH(d)&lt;=6,1,2)&amp;"'"&amp;RIGHT(YEAR(d),2))))</f>
        <v/>
      </c>
      <c r="BC11" s="76">
        <f>LET(d,EDATE($B$6,(COLUMN()-COLUMN($L$11))*$B$8),IF($B$8=1,TEXT(d,"MMM YY"),IF($B$8=3,"Q"&amp;ROUNDUP(MONTH(d)/3,0)&amp;"'"&amp;RIGHT(YEAR(d),2),"H"&amp;IF(MONTH(d)&lt;=6,1,2)&amp;"'"&amp;RIGHT(YEAR(d),2))))</f>
        <v/>
      </c>
      <c r="BD11" s="76">
        <f>LET(d,EDATE($B$6,(COLUMN()-COLUMN($L$11))*$B$8),IF($B$8=1,TEXT(d,"MMM YY"),IF($B$8=3,"Q"&amp;ROUNDUP(MONTH(d)/3,0)&amp;"'"&amp;RIGHT(YEAR(d),2),"H"&amp;IF(MONTH(d)&lt;=6,1,2)&amp;"'"&amp;RIGHT(YEAR(d),2))))</f>
        <v/>
      </c>
      <c r="BE11" s="76">
        <f>LET(d,EDATE($B$6,(COLUMN()-COLUMN($L$11))*$B$8),IF($B$8=1,TEXT(d,"MMM YY"),IF($B$8=3,"Q"&amp;ROUNDUP(MONTH(d)/3,0)&amp;"'"&amp;RIGHT(YEAR(d),2),"H"&amp;IF(MONTH(d)&lt;=6,1,2)&amp;"'"&amp;RIGHT(YEAR(d),2))))</f>
        <v/>
      </c>
      <c r="BF11" s="76">
        <f>LET(d,EDATE($B$6,(COLUMN()-COLUMN($L$11))*$B$8),IF($B$8=1,TEXT(d,"MMM YY"),IF($B$8=3,"Q"&amp;ROUNDUP(MONTH(d)/3,0)&amp;"'"&amp;RIGHT(YEAR(d),2),"H"&amp;IF(MONTH(d)&lt;=6,1,2)&amp;"'"&amp;RIGHT(YEAR(d),2))))</f>
        <v/>
      </c>
      <c r="BG11" s="76">
        <f>LET(d,EDATE($B$6,(COLUMN()-COLUMN($L$11))*$B$8),IF($B$8=1,TEXT(d,"MMM YY"),IF($B$8=3,"Q"&amp;ROUNDUP(MONTH(d)/3,0)&amp;"'"&amp;RIGHT(YEAR(d),2),"H"&amp;IF(MONTH(d)&lt;=6,1,2)&amp;"'"&amp;RIGHT(YEAR(d),2))))</f>
        <v/>
      </c>
      <c r="BH11" s="76">
        <f>LET(d,EDATE($B$6,(COLUMN()-COLUMN($L$11))*$B$8),IF($B$8=1,TEXT(d,"MMM YY"),IF($B$8=3,"Q"&amp;ROUNDUP(MONTH(d)/3,0)&amp;"'"&amp;RIGHT(YEAR(d),2),"H"&amp;IF(MONTH(d)&lt;=6,1,2)&amp;"'"&amp;RIGHT(YEAR(d),2))))</f>
        <v/>
      </c>
      <c r="BI11" s="76">
        <f>LET(d,EDATE($B$6,(COLUMN()-COLUMN($L$11))*$B$8),IF($B$8=1,TEXT(d,"MMM YY"),IF($B$8=3,"Q"&amp;ROUNDUP(MONTH(d)/3,0)&amp;"'"&amp;RIGHT(YEAR(d),2),"H"&amp;IF(MONTH(d)&lt;=6,1,2)&amp;"'"&amp;RIGHT(YEAR(d),2))))</f>
        <v/>
      </c>
      <c r="BJ11" s="76">
        <f>LET(d,EDATE($B$6,(COLUMN()-COLUMN($L$11))*$B$8),IF($B$8=1,TEXT(d,"MMM YY"),IF($B$8=3,"Q"&amp;ROUNDUP(MONTH(d)/3,0)&amp;"'"&amp;RIGHT(YEAR(d),2),"H"&amp;IF(MONTH(d)&lt;=6,1,2)&amp;"'"&amp;RIGHT(YEAR(d),2))))</f>
        <v/>
      </c>
      <c r="BK11" s="76">
        <f>LET(d,EDATE($B$6,(COLUMN()-COLUMN($L$11))*$B$8),IF($B$8=1,TEXT(d,"MMM YY"),IF($B$8=3,"Q"&amp;ROUNDUP(MONTH(d)/3,0)&amp;"'"&amp;RIGHT(YEAR(d),2),"H"&amp;IF(MONTH(d)&lt;=6,1,2)&amp;"'"&amp;RIGHT(YEAR(d),2))))</f>
        <v/>
      </c>
      <c r="BL11" s="76">
        <f>LET(d,EDATE($B$6,(COLUMN()-COLUMN($L$11))*$B$8),IF($B$8=1,TEXT(d,"MMM YY"),IF($B$8=3,"Q"&amp;ROUNDUP(MONTH(d)/3,0)&amp;"'"&amp;RIGHT(YEAR(d),2),"H"&amp;IF(MONTH(d)&lt;=6,1,2)&amp;"'"&amp;RIGHT(YEAR(d),2))))</f>
        <v/>
      </c>
      <c r="BM11" s="76">
        <f>LET(d,EDATE($B$6,(COLUMN()-COLUMN($L$11))*$B$8),IF($B$8=1,TEXT(d,"MMM YY"),IF($B$8=3,"Q"&amp;ROUNDUP(MONTH(d)/3,0)&amp;"'"&amp;RIGHT(YEAR(d),2),"H"&amp;IF(MONTH(d)&lt;=6,1,2)&amp;"'"&amp;RIGHT(YEAR(d),2))))</f>
        <v/>
      </c>
      <c r="BN11" s="76">
        <f>LET(d,EDATE($B$6,(COLUMN()-COLUMN($L$11))*$B$8),IF($B$8=1,TEXT(d,"MMM YY"),IF($B$8=3,"Q"&amp;ROUNDUP(MONTH(d)/3,0)&amp;"'"&amp;RIGHT(YEAR(d),2),"H"&amp;IF(MONTH(d)&lt;=6,1,2)&amp;"'"&amp;RIGHT(YEAR(d),2))))</f>
        <v/>
      </c>
      <c r="BO11" s="76">
        <f>LET(d,EDATE($B$6,(COLUMN()-COLUMN($L$11))*$B$8),IF($B$8=1,TEXT(d,"MMM YY"),IF($B$8=3,"Q"&amp;ROUNDUP(MONTH(d)/3,0)&amp;"'"&amp;RIGHT(YEAR(d),2),"H"&amp;IF(MONTH(d)&lt;=6,1,2)&amp;"'"&amp;RIGHT(YEAR(d),2))))</f>
        <v/>
      </c>
      <c r="BP11" s="76">
        <f>LET(d,EDATE($B$6,(COLUMN()-COLUMN($L$11))*$B$8),IF($B$8=1,TEXT(d,"MMM YY"),IF($B$8=3,"Q"&amp;ROUNDUP(MONTH(d)/3,0)&amp;"'"&amp;RIGHT(YEAR(d),2),"H"&amp;IF(MONTH(d)&lt;=6,1,2)&amp;"'"&amp;RIGHT(YEAR(d),2))))</f>
        <v/>
      </c>
      <c r="BQ11" s="76">
        <f>LET(d,EDATE($B$6,(COLUMN()-COLUMN($L$11))*$B$8),IF($B$8=1,TEXT(d,"MMM YY"),IF($B$8=3,"Q"&amp;ROUNDUP(MONTH(d)/3,0)&amp;"'"&amp;RIGHT(YEAR(d),2),"H"&amp;IF(MONTH(d)&lt;=6,1,2)&amp;"'"&amp;RIGHT(YEAR(d),2))))</f>
        <v/>
      </c>
      <c r="BR11" s="76">
        <f>LET(d,EDATE($B$6,(COLUMN()-COLUMN($L$11))*$B$8),IF($B$8=1,TEXT(d,"MMM YY"),IF($B$8=3,"Q"&amp;ROUNDUP(MONTH(d)/3,0)&amp;"'"&amp;RIGHT(YEAR(d),2),"H"&amp;IF(MONTH(d)&lt;=6,1,2)&amp;"'"&amp;RIGHT(YEAR(d),2))))</f>
        <v/>
      </c>
      <c r="BS11" s="76">
        <f>LET(d,EDATE($B$6,(COLUMN()-COLUMN($L$11))*$B$8),IF($B$8=1,TEXT(d,"MMM YY"),IF($B$8=3,"Q"&amp;ROUNDUP(MONTH(d)/3,0)&amp;"'"&amp;RIGHT(YEAR(d),2),"H"&amp;IF(MONTH(d)&lt;=6,1,2)&amp;"'"&amp;RIGHT(YEAR(d),2))))</f>
        <v/>
      </c>
      <c r="BT11" s="76">
        <f>LET(d,EDATE($B$6,(COLUMN()-COLUMN($L$11))*$B$8),IF($B$8=1,TEXT(d,"MMM YY"),IF($B$8=3,"Q"&amp;ROUNDUP(MONTH(d)/3,0)&amp;"'"&amp;RIGHT(YEAR(d),2),"H"&amp;IF(MONTH(d)&lt;=6,1,2)&amp;"'"&amp;RIGHT(YEAR(d),2))))</f>
        <v/>
      </c>
      <c r="BU11" s="76">
        <f>LET(d,EDATE($B$6,(COLUMN()-COLUMN($L$11))*$B$8),IF($B$8=1,TEXT(d,"MMM YY"),IF($B$8=3,"Q"&amp;ROUNDUP(MONTH(d)/3,0)&amp;"'"&amp;RIGHT(YEAR(d),2),"H"&amp;IF(MONTH(d)&lt;=6,1,2)&amp;"'"&amp;RIGHT(YEAR(d),2))))</f>
        <v/>
      </c>
      <c r="BV11" s="76">
        <f>LET(d,EDATE($B$6,(COLUMN()-COLUMN($L$11))*$B$8),IF($B$8=1,TEXT(d,"MMM YY"),IF($B$8=3,"Q"&amp;ROUNDUP(MONTH(d)/3,0)&amp;"'"&amp;RIGHT(YEAR(d),2),"H"&amp;IF(MONTH(d)&lt;=6,1,2)&amp;"'"&amp;RIGHT(YEAR(d),2))))</f>
        <v/>
      </c>
      <c r="BW11" s="76">
        <f>LET(d,EDATE($B$6,(COLUMN()-COLUMN($L$11))*$B$8),IF($B$8=1,TEXT(d,"MMM YY"),IF($B$8=3,"Q"&amp;ROUNDUP(MONTH(d)/3,0)&amp;"'"&amp;RIGHT(YEAR(d),2),"H"&amp;IF(MONTH(d)&lt;=6,1,2)&amp;"'"&amp;RIGHT(YEAR(d),2))))</f>
        <v/>
      </c>
      <c r="BX11" s="76">
        <f>LET(d,EDATE($B$6,(COLUMN()-COLUMN($L$11))*$B$8),IF($B$8=1,TEXT(d,"MMM YY"),IF($B$8=3,"Q"&amp;ROUNDUP(MONTH(d)/3,0)&amp;"'"&amp;RIGHT(YEAR(d),2),"H"&amp;IF(MONTH(d)&lt;=6,1,2)&amp;"'"&amp;RIGHT(YEAR(d),2))))</f>
        <v/>
      </c>
      <c r="BY11" s="76">
        <f>LET(d,EDATE($B$6,(COLUMN()-COLUMN($L$11))*$B$8),IF($B$8=1,TEXT(d,"MMM YY"),IF($B$8=3,"Q"&amp;ROUNDUP(MONTH(d)/3,0)&amp;"'"&amp;RIGHT(YEAR(d),2),"H"&amp;IF(MONTH(d)&lt;=6,1,2)&amp;"'"&amp;RIGHT(YEAR(d),2))))</f>
        <v/>
      </c>
      <c r="BZ11" s="76">
        <f>LET(d,EDATE($B$6,(COLUMN()-COLUMN($L$11))*$B$8),IF($B$8=1,TEXT(d,"MMM YY"),IF($B$8=3,"Q"&amp;ROUNDUP(MONTH(d)/3,0)&amp;"'"&amp;RIGHT(YEAR(d),2),"H"&amp;IF(MONTH(d)&lt;=6,1,2)&amp;"'"&amp;RIGHT(YEAR(d),2))))</f>
        <v/>
      </c>
      <c r="CA11" s="76">
        <f>LET(d,EDATE($B$6,(COLUMN()-COLUMN($L$11))*$B$8),IF($B$8=1,TEXT(d,"MMM YY"),IF($B$8=3,"Q"&amp;ROUNDUP(MONTH(d)/3,0)&amp;"'"&amp;RIGHT(YEAR(d),2),"H"&amp;IF(MONTH(d)&lt;=6,1,2)&amp;"'"&amp;RIGHT(YEAR(d),2))))</f>
        <v/>
      </c>
      <c r="CB11" s="76">
        <f>LET(d,EDATE($B$6,(COLUMN()-COLUMN($L$11))*$B$8),IF($B$8=1,TEXT(d,"MMM YY"),IF($B$8=3,"Q"&amp;ROUNDUP(MONTH(d)/3,0)&amp;"'"&amp;RIGHT(YEAR(d),2),"H"&amp;IF(MONTH(d)&lt;=6,1,2)&amp;"'"&amp;RIGHT(YEAR(d),2))))</f>
        <v/>
      </c>
      <c r="CC11" s="76">
        <f>LET(d,EDATE($B$6,(COLUMN()-COLUMN($L$11))*$B$8),IF($B$8=1,TEXT(d,"MMM YY"),IF($B$8=3,"Q"&amp;ROUNDUP(MONTH(d)/3,0)&amp;"'"&amp;RIGHT(YEAR(d),2),"H"&amp;IF(MONTH(d)&lt;=6,1,2)&amp;"'"&amp;RIGHT(YEAR(d),2))))</f>
        <v/>
      </c>
      <c r="CD11" s="76">
        <f>LET(d,EDATE($B$6,(COLUMN()-COLUMN($L$11))*$B$8),IF($B$8=1,TEXT(d,"MMM YY"),IF($B$8=3,"Q"&amp;ROUNDUP(MONTH(d)/3,0)&amp;"'"&amp;RIGHT(YEAR(d),2),"H"&amp;IF(MONTH(d)&lt;=6,1,2)&amp;"'"&amp;RIGHT(YEAR(d),2))))</f>
        <v/>
      </c>
      <c r="CE11" s="76">
        <f>LET(d,EDATE($B$6,(COLUMN()-COLUMN($L$11))*$B$8),IF($B$8=1,TEXT(d,"MMM YY"),IF($B$8=3,"Q"&amp;ROUNDUP(MONTH(d)/3,0)&amp;"'"&amp;RIGHT(YEAR(d),2),"H"&amp;IF(MONTH(d)&lt;=6,1,2)&amp;"'"&amp;RIGHT(YEAR(d),2))))</f>
        <v/>
      </c>
      <c r="CF11" s="76">
        <f>LET(d,EDATE($B$6,(COLUMN()-COLUMN($L$11))*$B$8),IF($B$8=1,TEXT(d,"MMM YY"),IF($B$8=3,"Q"&amp;ROUNDUP(MONTH(d)/3,0)&amp;"'"&amp;RIGHT(YEAR(d),2),"H"&amp;IF(MONTH(d)&lt;=6,1,2)&amp;"'"&amp;RIGHT(YEAR(d),2))))</f>
        <v/>
      </c>
      <c r="CG11" s="76">
        <f>LET(d,EDATE($B$6,(COLUMN()-COLUMN($L$11))*$B$8),IF($B$8=1,TEXT(d,"MMM YY"),IF($B$8=3,"Q"&amp;ROUNDUP(MONTH(d)/3,0)&amp;"'"&amp;RIGHT(YEAR(d),2),"H"&amp;IF(MONTH(d)&lt;=6,1,2)&amp;"'"&amp;RIGHT(YEAR(d),2))))</f>
        <v/>
      </c>
      <c r="CH11" s="76">
        <f>LET(d,EDATE($B$6,(COLUMN()-COLUMN($L$11))*$B$8),IF($B$8=1,TEXT(d,"MMM YY"),IF($B$8=3,"Q"&amp;ROUNDUP(MONTH(d)/3,0)&amp;"'"&amp;RIGHT(YEAR(d),2),"H"&amp;IF(MONTH(d)&lt;=6,1,2)&amp;"'"&amp;RIGHT(YEAR(d),2))))</f>
        <v/>
      </c>
      <c r="CI11" s="76">
        <f>LET(d,EDATE($B$6,(COLUMN()-COLUMN($L$11))*$B$8),IF($B$8=1,TEXT(d,"MMM YY"),IF($B$8=3,"Q"&amp;ROUNDUP(MONTH(d)/3,0)&amp;"'"&amp;RIGHT(YEAR(d),2),"H"&amp;IF(MONTH(d)&lt;=6,1,2)&amp;"'"&amp;RIGHT(YEAR(d),2))))</f>
        <v/>
      </c>
      <c r="CJ11" s="76">
        <f>LET(d,EDATE($B$6,(COLUMN()-COLUMN($L$11))*$B$8),IF($B$8=1,TEXT(d,"MMM YY"),IF($B$8=3,"Q"&amp;ROUNDUP(MONTH(d)/3,0)&amp;"'"&amp;RIGHT(YEAR(d),2),"H"&amp;IF(MONTH(d)&lt;=6,1,2)&amp;"'"&amp;RIGHT(YEAR(d),2))))</f>
        <v/>
      </c>
      <c r="CK11" s="76">
        <f>LET(d,EDATE($B$6,(COLUMN()-COLUMN($L$11))*$B$8),IF($B$8=1,TEXT(d,"MMM YY"),IF($B$8=3,"Q"&amp;ROUNDUP(MONTH(d)/3,0)&amp;"'"&amp;RIGHT(YEAR(d),2),"H"&amp;IF(MONTH(d)&lt;=6,1,2)&amp;"'"&amp;RIGHT(YEAR(d),2))))</f>
        <v/>
      </c>
      <c r="CL11" s="76">
        <f>LET(d,EDATE($B$6,(COLUMN()-COLUMN($L$11))*$B$8),IF($B$8=1,TEXT(d,"MMM YY"),IF($B$8=3,"Q"&amp;ROUNDUP(MONTH(d)/3,0)&amp;"'"&amp;RIGHT(YEAR(d),2),"H"&amp;IF(MONTH(d)&lt;=6,1,2)&amp;"'"&amp;RIGHT(YEAR(d),2))))</f>
        <v/>
      </c>
      <c r="CM11" s="76">
        <f>LET(d,EDATE($B$6,(COLUMN()-COLUMN($L$11))*$B$8),IF($B$8=1,TEXT(d,"MMM YY"),IF($B$8=3,"Q"&amp;ROUNDUP(MONTH(d)/3,0)&amp;"'"&amp;RIGHT(YEAR(d),2),"H"&amp;IF(MONTH(d)&lt;=6,1,2)&amp;"'"&amp;RIGHT(YEAR(d),2))))</f>
        <v/>
      </c>
      <c r="CN11" s="76">
        <f>LET(d,EDATE($B$6,(COLUMN()-COLUMN($L$11))*$B$8),IF($B$8=1,TEXT(d,"MMM YY"),IF($B$8=3,"Q"&amp;ROUNDUP(MONTH(d)/3,0)&amp;"'"&amp;RIGHT(YEAR(d),2),"H"&amp;IF(MONTH(d)&lt;=6,1,2)&amp;"'"&amp;RIGHT(YEAR(d),2))))</f>
        <v/>
      </c>
      <c r="CO11" s="76">
        <f>LET(d,EDATE($B$6,(COLUMN()-COLUMN($L$11))*$B$8),IF($B$8=1,TEXT(d,"MMM YY"),IF($B$8=3,"Q"&amp;ROUNDUP(MONTH(d)/3,0)&amp;"'"&amp;RIGHT(YEAR(d),2),"H"&amp;IF(MONTH(d)&lt;=6,1,2)&amp;"'"&amp;RIGHT(YEAR(d),2))))</f>
        <v/>
      </c>
      <c r="CP11" s="76">
        <f>LET(d,EDATE($B$6,(COLUMN()-COLUMN($L$11))*$B$8),IF($B$8=1,TEXT(d,"MMM YY"),IF($B$8=3,"Q"&amp;ROUNDUP(MONTH(d)/3,0)&amp;"'"&amp;RIGHT(YEAR(d),2),"H"&amp;IF(MONTH(d)&lt;=6,1,2)&amp;"'"&amp;RIGHT(YEAR(d),2))))</f>
        <v/>
      </c>
      <c r="CQ11" s="76">
        <f>LET(d,EDATE($B$6,(COLUMN()-COLUMN($L$11))*$B$8),IF($B$8=1,TEXT(d,"MMM YY"),IF($B$8=3,"Q"&amp;ROUNDUP(MONTH(d)/3,0)&amp;"'"&amp;RIGHT(YEAR(d),2),"H"&amp;IF(MONTH(d)&lt;=6,1,2)&amp;"'"&amp;RIGHT(YEAR(d),2))))</f>
        <v/>
      </c>
      <c r="CR11" s="76">
        <f>LET(d,EDATE($B$6,(COLUMN()-COLUMN($L$11))*$B$8),IF($B$8=1,TEXT(d,"MMM YY"),IF($B$8=3,"Q"&amp;ROUNDUP(MONTH(d)/3,0)&amp;"'"&amp;RIGHT(YEAR(d),2),"H"&amp;IF(MONTH(d)&lt;=6,1,2)&amp;"'"&amp;RIGHT(YEAR(d),2))))</f>
        <v/>
      </c>
      <c r="CS11" s="76">
        <f>LET(d,EDATE($B$6,(COLUMN()-COLUMN($L$11))*$B$8),IF($B$8=1,TEXT(d,"MMM YY"),IF($B$8=3,"Q"&amp;ROUNDUP(MONTH(d)/3,0)&amp;"'"&amp;RIGHT(YEAR(d),2),"H"&amp;IF(MONTH(d)&lt;=6,1,2)&amp;"'"&amp;RIGHT(YEAR(d),2))))</f>
        <v/>
      </c>
      <c r="CT11" s="76">
        <f>LET(d,EDATE($B$6,(COLUMN()-COLUMN($L$11))*$B$8),IF($B$8=1,TEXT(d,"MMM YY"),IF($B$8=3,"Q"&amp;ROUNDUP(MONTH(d)/3,0)&amp;"'"&amp;RIGHT(YEAR(d),2),"H"&amp;IF(MONTH(d)&lt;=6,1,2)&amp;"'"&amp;RIGHT(YEAR(d),2))))</f>
        <v/>
      </c>
      <c r="CU11" s="76">
        <f>LET(d,EDATE($B$6,(COLUMN()-COLUMN($L$11))*$B$8),IF($B$8=1,TEXT(d,"MMM YY"),IF($B$8=3,"Q"&amp;ROUNDUP(MONTH(d)/3,0)&amp;"'"&amp;RIGHT(YEAR(d),2),"H"&amp;IF(MONTH(d)&lt;=6,1,2)&amp;"'"&amp;RIGHT(YEAR(d),2))))</f>
        <v/>
      </c>
      <c r="CV11" s="76">
        <f>LET(d,EDATE($B$6,(COLUMN()-COLUMN($L$11))*$B$8),IF($B$8=1,TEXT(d,"MMM YY"),IF($B$8=3,"Q"&amp;ROUNDUP(MONTH(d)/3,0)&amp;"'"&amp;RIGHT(YEAR(d),2),"H"&amp;IF(MONTH(d)&lt;=6,1,2)&amp;"'"&amp;RIGHT(YEAR(d),2))))</f>
        <v/>
      </c>
      <c r="CW11" s="76">
        <f>LET(d,EDATE($B$6,(COLUMN()-COLUMN($L$11))*$B$8),IF($B$8=1,TEXT(d,"MMM YY"),IF($B$8=3,"Q"&amp;ROUNDUP(MONTH(d)/3,0)&amp;"'"&amp;RIGHT(YEAR(d),2),"H"&amp;IF(MONTH(d)&lt;=6,1,2)&amp;"'"&amp;RIGHT(YEAR(d),2))))</f>
        <v/>
      </c>
      <c r="CX11" s="76">
        <f>LET(d,EDATE($B$6,(COLUMN()-COLUMN($L$11))*$B$8),IF($B$8=1,TEXT(d,"MMM YY"),IF($B$8=3,"Q"&amp;ROUNDUP(MONTH(d)/3,0)&amp;"'"&amp;RIGHT(YEAR(d),2),"H"&amp;IF(MONTH(d)&lt;=6,1,2)&amp;"'"&amp;RIGHT(YEAR(d),2))))</f>
        <v/>
      </c>
      <c r="CY11" s="76">
        <f>LET(d,EDATE($B$6,(COLUMN()-COLUMN($L$11))*$B$8),IF($B$8=1,TEXT(d,"MMM YY"),IF($B$8=3,"Q"&amp;ROUNDUP(MONTH(d)/3,0)&amp;"'"&amp;RIGHT(YEAR(d),2),"H"&amp;IF(MONTH(d)&lt;=6,1,2)&amp;"'"&amp;RIGHT(YEAR(d),2))))</f>
        <v/>
      </c>
      <c r="CZ11" s="76">
        <f>LET(d,EDATE($B$6,(COLUMN()-COLUMN($L$11))*$B$8),IF($B$8=1,TEXT(d,"MMM YY"),IF($B$8=3,"Q"&amp;ROUNDUP(MONTH(d)/3,0)&amp;"'"&amp;RIGHT(YEAR(d),2),"H"&amp;IF(MONTH(d)&lt;=6,1,2)&amp;"'"&amp;RIGHT(YEAR(d),2))))</f>
        <v/>
      </c>
      <c r="DA11" s="76">
        <f>LET(d,EDATE($B$6,(COLUMN()-COLUMN($L$11))*$B$8),IF($B$8=1,TEXT(d,"MMM YY"),IF($B$8=3,"Q"&amp;ROUNDUP(MONTH(d)/3,0)&amp;"'"&amp;RIGHT(YEAR(d),2),"H"&amp;IF(MONTH(d)&lt;=6,1,2)&amp;"'"&amp;RIGHT(YEAR(d),2))))</f>
        <v/>
      </c>
      <c r="DB11" s="76">
        <f>LET(d,EDATE($B$6,(COLUMN()-COLUMN($L$11))*$B$8),IF($B$8=1,TEXT(d,"MMM YY"),IF($B$8=3,"Q"&amp;ROUNDUP(MONTH(d)/3,0)&amp;"'"&amp;RIGHT(YEAR(d),2),"H"&amp;IF(MONTH(d)&lt;=6,1,2)&amp;"'"&amp;RIGHT(YEAR(d),2))))</f>
        <v/>
      </c>
      <c r="DC11" s="76">
        <f>LET(d,EDATE($B$6,(COLUMN()-COLUMN($L$11))*$B$8),IF($B$8=1,TEXT(d,"MMM YY"),IF($B$8=3,"Q"&amp;ROUNDUP(MONTH(d)/3,0)&amp;"'"&amp;RIGHT(YEAR(d),2),"H"&amp;IF(MONTH(d)&lt;=6,1,2)&amp;"'"&amp;RIGHT(YEAR(d),2))))</f>
        <v/>
      </c>
      <c r="DD11" s="76">
        <f>LET(d,EDATE($B$6,(COLUMN()-COLUMN($L$11))*$B$8),IF($B$8=1,TEXT(d,"MMM YY"),IF($B$8=3,"Q"&amp;ROUNDUP(MONTH(d)/3,0)&amp;"'"&amp;RIGHT(YEAR(d),2),"H"&amp;IF(MONTH(d)&lt;=6,1,2)&amp;"'"&amp;RIGHT(YEAR(d),2))))</f>
        <v/>
      </c>
      <c r="DE11" s="76">
        <f>LET(d,EDATE($B$6,(COLUMN()-COLUMN($L$11))*$B$8),IF($B$8=1,TEXT(d,"MMM YY"),IF($B$8=3,"Q"&amp;ROUNDUP(MONTH(d)/3,0)&amp;"'"&amp;RIGHT(YEAR(d),2),"H"&amp;IF(MONTH(d)&lt;=6,1,2)&amp;"'"&amp;RIGHT(YEAR(d),2))))</f>
        <v/>
      </c>
      <c r="DF11" s="76">
        <f>LET(d,EDATE($B$6,(COLUMN()-COLUMN($L$11))*$B$8),IF($B$8=1,TEXT(d,"MMM YY"),IF($B$8=3,"Q"&amp;ROUNDUP(MONTH(d)/3,0)&amp;"'"&amp;RIGHT(YEAR(d),2),"H"&amp;IF(MONTH(d)&lt;=6,1,2)&amp;"'"&amp;RIGHT(YEAR(d),2))))</f>
        <v/>
      </c>
      <c r="DG11" s="76">
        <f>LET(d,EDATE($B$6,(COLUMN()-COLUMN($L$11))*$B$8),IF($B$8=1,TEXT(d,"MMM YY"),IF($B$8=3,"Q"&amp;ROUNDUP(MONTH(d)/3,0)&amp;"'"&amp;RIGHT(YEAR(d),2),"H"&amp;IF(MONTH(d)&lt;=6,1,2)&amp;"'"&amp;RIGHT(YEAR(d),2))))</f>
        <v/>
      </c>
      <c r="DH11" s="76">
        <f>LET(d,EDATE($B$6,(COLUMN()-COLUMN($L$11))*$B$8),IF($B$8=1,TEXT(d,"MMM YY"),IF($B$8=3,"Q"&amp;ROUNDUP(MONTH(d)/3,0)&amp;"'"&amp;RIGHT(YEAR(d),2),"H"&amp;IF(MONTH(d)&lt;=6,1,2)&amp;"'"&amp;RIGHT(YEAR(d),2))))</f>
        <v/>
      </c>
      <c r="DI11" s="76">
        <f>LET(d,EDATE($B$6,(COLUMN()-COLUMN($L$11))*$B$8),IF($B$8=1,TEXT(d,"MMM YY"),IF($B$8=3,"Q"&amp;ROUNDUP(MONTH(d)/3,0)&amp;"'"&amp;RIGHT(YEAR(d),2),"H"&amp;IF(MONTH(d)&lt;=6,1,2)&amp;"'"&amp;RIGHT(YEAR(d),2))))</f>
        <v/>
      </c>
      <c r="DJ11" s="76">
        <f>LET(d,EDATE($B$6,(COLUMN()-COLUMN($L$11))*$B$8),IF($B$8=1,TEXT(d,"MMM YY"),IF($B$8=3,"Q"&amp;ROUNDUP(MONTH(d)/3,0)&amp;"'"&amp;RIGHT(YEAR(d),2),"H"&amp;IF(MONTH(d)&lt;=6,1,2)&amp;"'"&amp;RIGHT(YEAR(d),2))))</f>
        <v/>
      </c>
      <c r="DK11" s="76">
        <f>LET(d,EDATE($B$6,(COLUMN()-COLUMN($L$11))*$B$8),IF($B$8=1,TEXT(d,"MMM YY"),IF($B$8=3,"Q"&amp;ROUNDUP(MONTH(d)/3,0)&amp;"'"&amp;RIGHT(YEAR(d),2),"H"&amp;IF(MONTH(d)&lt;=6,1,2)&amp;"'"&amp;RIGHT(YEAR(d),2))))</f>
        <v/>
      </c>
      <c r="DL11" s="76">
        <f>LET(d,EDATE($B$6,(COLUMN()-COLUMN($L$11))*$B$8),IF($B$8=1,TEXT(d,"MMM YY"),IF($B$8=3,"Q"&amp;ROUNDUP(MONTH(d)/3,0)&amp;"'"&amp;RIGHT(YEAR(d),2),"H"&amp;IF(MONTH(d)&lt;=6,1,2)&amp;"'"&amp;RIGHT(YEAR(d),2))))</f>
        <v/>
      </c>
      <c r="DM11" s="76">
        <f>LET(d,EDATE($B$6,(COLUMN()-COLUMN($L$11))*$B$8),IF($B$8=1,TEXT(d,"MMM YY"),IF($B$8=3,"Q"&amp;ROUNDUP(MONTH(d)/3,0)&amp;"'"&amp;RIGHT(YEAR(d),2),"H"&amp;IF(MONTH(d)&lt;=6,1,2)&amp;"'"&amp;RIGHT(YEAR(d),2))))</f>
        <v/>
      </c>
      <c r="DN11" s="76">
        <f>LET(d,EDATE($B$6,(COLUMN()-COLUMN($L$11))*$B$8),IF($B$8=1,TEXT(d,"MMM YY"),IF($B$8=3,"Q"&amp;ROUNDUP(MONTH(d)/3,0)&amp;"'"&amp;RIGHT(YEAR(d),2),"H"&amp;IF(MONTH(d)&lt;=6,1,2)&amp;"'"&amp;RIGHT(YEAR(d),2))))</f>
        <v/>
      </c>
      <c r="DO11" s="76">
        <f>LET(d,EDATE($B$6,(COLUMN()-COLUMN($L$11))*$B$8),IF($B$8=1,TEXT(d,"MMM YY"),IF($B$8=3,"Q"&amp;ROUNDUP(MONTH(d)/3,0)&amp;"'"&amp;RIGHT(YEAR(d),2),"H"&amp;IF(MONTH(d)&lt;=6,1,2)&amp;"'"&amp;RIGHT(YEAR(d),2))))</f>
        <v/>
      </c>
      <c r="DP11" s="76">
        <f>LET(d,EDATE($B$6,(COLUMN()-COLUMN($L$11))*$B$8),IF($B$8=1,TEXT(d,"MMM YY"),IF($B$8=3,"Q"&amp;ROUNDUP(MONTH(d)/3,0)&amp;"'"&amp;RIGHT(YEAR(d),2),"H"&amp;IF(MONTH(d)&lt;=6,1,2)&amp;"'"&amp;RIGHT(YEAR(d),2))))</f>
        <v/>
      </c>
      <c r="DQ11" s="76">
        <f>LET(d,EDATE($B$6,(COLUMN()-COLUMN($L$11))*$B$8),IF($B$8=1,TEXT(d,"MMM YY"),IF($B$8=3,"Q"&amp;ROUNDUP(MONTH(d)/3,0)&amp;"'"&amp;RIGHT(YEAR(d),2),"H"&amp;IF(MONTH(d)&lt;=6,1,2)&amp;"'"&amp;RIGHT(YEAR(d),2))))</f>
        <v/>
      </c>
      <c r="DR11" s="76">
        <f>LET(d,EDATE($B$6,(COLUMN()-COLUMN($L$11))*$B$8),IF($B$8=1,TEXT(d,"MMM YY"),IF($B$8=3,"Q"&amp;ROUNDUP(MONTH(d)/3,0)&amp;"'"&amp;RIGHT(YEAR(d),2),"H"&amp;IF(MONTH(d)&lt;=6,1,2)&amp;"'"&amp;RIGHT(YEAR(d),2))))</f>
        <v/>
      </c>
      <c r="DS11" s="76">
        <f>LET(d,EDATE($B$6,(COLUMN()-COLUMN($L$11))*$B$8),IF($B$8=1,TEXT(d,"MMM YY"),IF($B$8=3,"Q"&amp;ROUNDUP(MONTH(d)/3,0)&amp;"'"&amp;RIGHT(YEAR(d),2),"H"&amp;IF(MONTH(d)&lt;=6,1,2)&amp;"'"&amp;RIGHT(YEAR(d),2))))</f>
        <v/>
      </c>
      <c r="DT11" s="76">
        <f>LET(d,EDATE($B$6,(COLUMN()-COLUMN($L$11))*$B$8),IF($B$8=1,TEXT(d,"MMM YY"),IF($B$8=3,"Q"&amp;ROUNDUP(MONTH(d)/3,0)&amp;"'"&amp;RIGHT(YEAR(d),2),"H"&amp;IF(MONTH(d)&lt;=6,1,2)&amp;"'"&amp;RIGHT(YEAR(d),2))))</f>
        <v/>
      </c>
      <c r="DU11" s="76">
        <f>LET(d,EDATE($B$6,(COLUMN()-COLUMN($L$11))*$B$8),IF($B$8=1,TEXT(d,"MMM YY"),IF($B$8=3,"Q"&amp;ROUNDUP(MONTH(d)/3,0)&amp;"'"&amp;RIGHT(YEAR(d),2),"H"&amp;IF(MONTH(d)&lt;=6,1,2)&amp;"'"&amp;RIGHT(YEAR(d),2))))</f>
        <v/>
      </c>
      <c r="DV11" s="76">
        <f>LET(d,EDATE($B$6,(COLUMN()-COLUMN($L$11))*$B$8),IF($B$8=1,TEXT(d,"MMM YY"),IF($B$8=3,"Q"&amp;ROUNDUP(MONTH(d)/3,0)&amp;"'"&amp;RIGHT(YEAR(d),2),"H"&amp;IF(MONTH(d)&lt;=6,1,2)&amp;"'"&amp;RIGHT(YEAR(d),2))))</f>
        <v/>
      </c>
      <c r="DW11" s="76">
        <f>LET(d,EDATE($B$6,(COLUMN()-COLUMN($L$11))*$B$8),IF($B$8=1,TEXT(d,"MMM YY"),IF($B$8=3,"Q"&amp;ROUNDUP(MONTH(d)/3,0)&amp;"'"&amp;RIGHT(YEAR(d),2),"H"&amp;IF(MONTH(d)&lt;=6,1,2)&amp;"'"&amp;RIGHT(YEAR(d),2))))</f>
        <v/>
      </c>
      <c r="DX11" s="76">
        <f>LET(d,EDATE($B$6,(COLUMN()-COLUMN($L$11))*$B$8),IF($B$8=1,TEXT(d,"MMM YY"),IF($B$8=3,"Q"&amp;ROUNDUP(MONTH(d)/3,0)&amp;"'"&amp;RIGHT(YEAR(d),2),"H"&amp;IF(MONTH(d)&lt;=6,1,2)&amp;"'"&amp;RIGHT(YEAR(d),2))))</f>
        <v/>
      </c>
      <c r="DY11" s="76">
        <f>LET(d,EDATE($B$6,(COLUMN()-COLUMN($L$11))*$B$8),IF($B$8=1,TEXT(d,"MMM YY"),IF($B$8=3,"Q"&amp;ROUNDUP(MONTH(d)/3,0)&amp;"'"&amp;RIGHT(YEAR(d),2),"H"&amp;IF(MONTH(d)&lt;=6,1,2)&amp;"'"&amp;RIGHT(YEAR(d),2))))</f>
        <v/>
      </c>
      <c r="DZ11" s="76">
        <f>LET(d,EDATE($B$6,(COLUMN()-COLUMN($L$11))*$B$8),IF($B$8=1,TEXT(d,"MMM YY"),IF($B$8=3,"Q"&amp;ROUNDUP(MONTH(d)/3,0)&amp;"'"&amp;RIGHT(YEAR(d),2),"H"&amp;IF(MONTH(d)&lt;=6,1,2)&amp;"'"&amp;RIGHT(YEAR(d),2))))</f>
        <v/>
      </c>
      <c r="EA11" s="76">
        <f>LET(d,EDATE($B$6,(COLUMN()-COLUMN($L$11))*$B$8),IF($B$8=1,TEXT(d,"MMM YY"),IF($B$8=3,"Q"&amp;ROUNDUP(MONTH(d)/3,0)&amp;"'"&amp;RIGHT(YEAR(d),2),"H"&amp;IF(MONTH(d)&lt;=6,1,2)&amp;"'"&amp;RIGHT(YEAR(d),2))))</f>
        <v/>
      </c>
      <c r="EB11" s="76">
        <f>LET(d,EDATE($B$6,(COLUMN()-COLUMN($L$11))*$B$8),IF($B$8=1,TEXT(d,"MMM YY"),IF($B$8=3,"Q"&amp;ROUNDUP(MONTH(d)/3,0)&amp;"'"&amp;RIGHT(YEAR(d),2),"H"&amp;IF(MONTH(d)&lt;=6,1,2)&amp;"'"&amp;RIGHT(YEAR(d),2))))</f>
        <v/>
      </c>
      <c r="EC11" s="76">
        <f>LET(d,EDATE($B$6,(COLUMN()-COLUMN($L$11))*$B$8),IF($B$8=1,TEXT(d,"MMM YY"),IF($B$8=3,"Q"&amp;ROUNDUP(MONTH(d)/3,0)&amp;"'"&amp;RIGHT(YEAR(d),2),"H"&amp;IF(MONTH(d)&lt;=6,1,2)&amp;"'"&amp;RIGHT(YEAR(d),2))))</f>
        <v/>
      </c>
      <c r="ED11" s="76">
        <f>LET(d,EDATE($B$6,(COLUMN()-COLUMN($L$11))*$B$8),IF($B$8=1,TEXT(d,"MMM YY"),IF($B$8=3,"Q"&amp;ROUNDUP(MONTH(d)/3,0)&amp;"'"&amp;RIGHT(YEAR(d),2),"H"&amp;IF(MONTH(d)&lt;=6,1,2)&amp;"'"&amp;RIGHT(YEAR(d),2))))</f>
        <v/>
      </c>
      <c r="EE11" s="76">
        <f>LET(d,EDATE($B$6,(COLUMN()-COLUMN($L$11))*$B$8),IF($B$8=1,TEXT(d,"MMM YY"),IF($B$8=3,"Q"&amp;ROUNDUP(MONTH(d)/3,0)&amp;"'"&amp;RIGHT(YEAR(d),2),"H"&amp;IF(MONTH(d)&lt;=6,1,2)&amp;"'"&amp;RIGHT(YEAR(d),2))))</f>
        <v/>
      </c>
      <c r="EF11" s="76">
        <f>LET(d,EDATE($B$6,(COLUMN()-COLUMN($L$11))*$B$8),IF($B$8=1,TEXT(d,"MMM YY"),IF($B$8=3,"Q"&amp;ROUNDUP(MONTH(d)/3,0)&amp;"'"&amp;RIGHT(YEAR(d),2),"H"&amp;IF(MONTH(d)&lt;=6,1,2)&amp;"'"&amp;RIGHT(YEAR(d),2))))</f>
        <v/>
      </c>
      <c r="EG11" s="76">
        <f>LET(d,EDATE($B$6,(COLUMN()-COLUMN($L$11))*$B$8),IF($B$8=1,TEXT(d,"MMM YY"),IF($B$8=3,"Q"&amp;ROUNDUP(MONTH(d)/3,0)&amp;"'"&amp;RIGHT(YEAR(d),2),"H"&amp;IF(MONTH(d)&lt;=6,1,2)&amp;"'"&amp;RIGHT(YEAR(d),2))))</f>
        <v/>
      </c>
      <c r="EH11" s="76">
        <f>LET(d,EDATE($B$6,(COLUMN()-COLUMN($L$11))*$B$8),IF($B$8=1,TEXT(d,"MMM YY"),IF($B$8=3,"Q"&amp;ROUNDUP(MONTH(d)/3,0)&amp;"'"&amp;RIGHT(YEAR(d),2),"H"&amp;IF(MONTH(d)&lt;=6,1,2)&amp;"'"&amp;RIGHT(YEAR(d),2))))</f>
        <v/>
      </c>
      <c r="EI11" s="76">
        <f>LET(d,EDATE($B$6,(COLUMN()-COLUMN($L$11))*$B$8),IF($B$8=1,TEXT(d,"MMM YY"),IF($B$8=3,"Q"&amp;ROUNDUP(MONTH(d)/3,0)&amp;"'"&amp;RIGHT(YEAR(d),2),"H"&amp;IF(MONTH(d)&lt;=6,1,2)&amp;"'"&amp;RIGHT(YEAR(d),2))))</f>
        <v/>
      </c>
      <c r="EJ11" s="76">
        <f>LET(d,EDATE($B$6,(COLUMN()-COLUMN($L$11))*$B$8),IF($B$8=1,TEXT(d,"MMM YY"),IF($B$8=3,"Q"&amp;ROUNDUP(MONTH(d)/3,0)&amp;"'"&amp;RIGHT(YEAR(d),2),"H"&amp;IF(MONTH(d)&lt;=6,1,2)&amp;"'"&amp;RIGHT(YEAR(d),2))))</f>
        <v/>
      </c>
      <c r="EK11" s="76">
        <f>LET(d,EDATE($B$6,(COLUMN()-COLUMN($L$11))*$B$8),IF($B$8=1,TEXT(d,"MMM YY"),IF($B$8=3,"Q"&amp;ROUNDUP(MONTH(d)/3,0)&amp;"'"&amp;RIGHT(YEAR(d),2),"H"&amp;IF(MONTH(d)&lt;=6,1,2)&amp;"'"&amp;RIGHT(YEAR(d),2))))</f>
        <v/>
      </c>
      <c r="EL11" s="76">
        <f>LET(d,EDATE($B$6,(COLUMN()-COLUMN($L$11))*$B$8),IF($B$8=1,TEXT(d,"MMM YY"),IF($B$8=3,"Q"&amp;ROUNDUP(MONTH(d)/3,0)&amp;"'"&amp;RIGHT(YEAR(d),2),"H"&amp;IF(MONTH(d)&lt;=6,1,2)&amp;"'"&amp;RIGHT(YEAR(d),2))))</f>
        <v/>
      </c>
      <c r="EM11" s="76">
        <f>LET(d,EDATE($B$6,(COLUMN()-COLUMN($L$11))*$B$8),IF($B$8=1,TEXT(d,"MMM YY"),IF($B$8=3,"Q"&amp;ROUNDUP(MONTH(d)/3,0)&amp;"'"&amp;RIGHT(YEAR(d),2),"H"&amp;IF(MONTH(d)&lt;=6,1,2)&amp;"'"&amp;RIGHT(YEAR(d),2))))</f>
        <v/>
      </c>
      <c r="EN11" s="76">
        <f>LET(d,EDATE($B$6,(COLUMN()-COLUMN($L$11))*$B$8),IF($B$8=1,TEXT(d,"MMM YY"),IF($B$8=3,"Q"&amp;ROUNDUP(MONTH(d)/3,0)&amp;"'"&amp;RIGHT(YEAR(d),2),"H"&amp;IF(MONTH(d)&lt;=6,1,2)&amp;"'"&amp;RIGHT(YEAR(d),2))))</f>
        <v/>
      </c>
      <c r="EO11" s="76">
        <f>LET(d,EDATE($B$6,(COLUMN()-COLUMN($L$11))*$B$8),IF($B$8=1,TEXT(d,"MMM YY"),IF($B$8=3,"Q"&amp;ROUNDUP(MONTH(d)/3,0)&amp;"'"&amp;RIGHT(YEAR(d),2),"H"&amp;IF(MONTH(d)&lt;=6,1,2)&amp;"'"&amp;RIGHT(YEAR(d),2))))</f>
        <v/>
      </c>
      <c r="EP11" s="76">
        <f>LET(d,EDATE($B$6,(COLUMN()-COLUMN($L$11))*$B$8),IF($B$8=1,TEXT(d,"MMM YY"),IF($B$8=3,"Q"&amp;ROUNDUP(MONTH(d)/3,0)&amp;"'"&amp;RIGHT(YEAR(d),2),"H"&amp;IF(MONTH(d)&lt;=6,1,2)&amp;"'"&amp;RIGHT(YEAR(d),2))))</f>
        <v/>
      </c>
      <c r="EQ11" s="76">
        <f>LET(d,EDATE($B$6,(COLUMN()-COLUMN($L$11))*$B$8),IF($B$8=1,TEXT(d,"MMM YY"),IF($B$8=3,"Q"&amp;ROUNDUP(MONTH(d)/3,0)&amp;"'"&amp;RIGHT(YEAR(d),2),"H"&amp;IF(MONTH(d)&lt;=6,1,2)&amp;"'"&amp;RIGHT(YEAR(d),2))))</f>
        <v/>
      </c>
      <c r="ER11" s="76">
        <f>LET(d,EDATE($B$6,(COLUMN()-COLUMN($L$11))*$B$8),IF($B$8=1,TEXT(d,"MMM YY"),IF($B$8=3,"Q"&amp;ROUNDUP(MONTH(d)/3,0)&amp;"'"&amp;RIGHT(YEAR(d),2),"H"&amp;IF(MONTH(d)&lt;=6,1,2)&amp;"'"&amp;RIGHT(YEAR(d),2))))</f>
        <v/>
      </c>
      <c r="ES11" s="76">
        <f>LET(d,EDATE($B$6,(COLUMN()-COLUMN($L$11))*$B$8),IF($B$8=1,TEXT(d,"MMM YY"),IF($B$8=3,"Q"&amp;ROUNDUP(MONTH(d)/3,0)&amp;"'"&amp;RIGHT(YEAR(d),2),"H"&amp;IF(MONTH(d)&lt;=6,1,2)&amp;"'"&amp;RIGHT(YEAR(d),2))))</f>
        <v/>
      </c>
      <c r="ET11" s="76">
        <f>LET(d,EDATE($B$6,(COLUMN()-COLUMN($L$11))*$B$8),IF($B$8=1,TEXT(d,"MMM YY"),IF($B$8=3,"Q"&amp;ROUNDUP(MONTH(d)/3,0)&amp;"'"&amp;RIGHT(YEAR(d),2),"H"&amp;IF(MONTH(d)&lt;=6,1,2)&amp;"'"&amp;RIGHT(YEAR(d),2))))</f>
        <v/>
      </c>
      <c r="EU11" s="76">
        <f>LET(d,EDATE($B$6,(COLUMN()-COLUMN($L$11))*$B$8),IF($B$8=1,TEXT(d,"MMM YY"),IF($B$8=3,"Q"&amp;ROUNDUP(MONTH(d)/3,0)&amp;"'"&amp;RIGHT(YEAR(d),2),"H"&amp;IF(MONTH(d)&lt;=6,1,2)&amp;"'"&amp;RIGHT(YEAR(d),2))))</f>
        <v/>
      </c>
      <c r="EV11" s="76">
        <f>LET(d,EDATE($B$6,(COLUMN()-COLUMN($L$11))*$B$8),IF($B$8=1,TEXT(d,"MMM YY"),IF($B$8=3,"Q"&amp;ROUNDUP(MONTH(d)/3,0)&amp;"'"&amp;RIGHT(YEAR(d),2),"H"&amp;IF(MONTH(d)&lt;=6,1,2)&amp;"'"&amp;RIGHT(YEAR(d),2))))</f>
        <v/>
      </c>
      <c r="EW11" s="76">
        <f>LET(d,EDATE($B$6,(COLUMN()-COLUMN($L$11))*$B$8),IF($B$8=1,TEXT(d,"MMM YY"),IF($B$8=3,"Q"&amp;ROUNDUP(MONTH(d)/3,0)&amp;"'"&amp;RIGHT(YEAR(d),2),"H"&amp;IF(MONTH(d)&lt;=6,1,2)&amp;"'"&amp;RIGHT(YEAR(d),2))))</f>
        <v/>
      </c>
      <c r="EX11" s="76">
        <f>LET(d,EDATE($B$6,(COLUMN()-COLUMN($L$11))*$B$8),IF($B$8=1,TEXT(d,"MMM YY"),IF($B$8=3,"Q"&amp;ROUNDUP(MONTH(d)/3,0)&amp;"'"&amp;RIGHT(YEAR(d),2),"H"&amp;IF(MONTH(d)&lt;=6,1,2)&amp;"'"&amp;RIGHT(YEAR(d),2))))</f>
        <v/>
      </c>
      <c r="EY11" s="76">
        <f>LET(d,EDATE($B$6,(COLUMN()-COLUMN($L$11))*$B$8),IF($B$8=1,TEXT(d,"MMM YY"),IF($B$8=3,"Q"&amp;ROUNDUP(MONTH(d)/3,0)&amp;"'"&amp;RIGHT(YEAR(d),2),"H"&amp;IF(MONTH(d)&lt;=6,1,2)&amp;"'"&amp;RIGHT(YEAR(d),2))))</f>
        <v/>
      </c>
      <c r="EZ11" s="76">
        <f>LET(d,EDATE($B$6,(COLUMN()-COLUMN($L$11))*$B$8),IF($B$8=1,TEXT(d,"MMM YY"),IF($B$8=3,"Q"&amp;ROUNDUP(MONTH(d)/3,0)&amp;"'"&amp;RIGHT(YEAR(d),2),"H"&amp;IF(MONTH(d)&lt;=6,1,2)&amp;"'"&amp;RIGHT(YEAR(d),2))))</f>
        <v/>
      </c>
      <c r="FA11" s="76">
        <f>LET(d,EDATE($B$6,(COLUMN()-COLUMN($L$11))*$B$8),IF($B$8=1,TEXT(d,"MMM YY"),IF($B$8=3,"Q"&amp;ROUNDUP(MONTH(d)/3,0)&amp;"'"&amp;RIGHT(YEAR(d),2),"H"&amp;IF(MONTH(d)&lt;=6,1,2)&amp;"'"&amp;RIGHT(YEAR(d),2))))</f>
        <v/>
      </c>
      <c r="FB11" s="76">
        <f>LET(d,EDATE($B$6,(COLUMN()-COLUMN($L$11))*$B$8),IF($B$8=1,TEXT(d,"MMM YY"),IF($B$8=3,"Q"&amp;ROUNDUP(MONTH(d)/3,0)&amp;"'"&amp;RIGHT(YEAR(d),2),"H"&amp;IF(MONTH(d)&lt;=6,1,2)&amp;"'"&amp;RIGHT(YEAR(d),2))))</f>
        <v/>
      </c>
      <c r="FC11" s="76">
        <f>LET(d,EDATE($B$6,(COLUMN()-COLUMN($L$11))*$B$8),IF($B$8=1,TEXT(d,"MMM YY"),IF($B$8=3,"Q"&amp;ROUNDUP(MONTH(d)/3,0)&amp;"'"&amp;RIGHT(YEAR(d),2),"H"&amp;IF(MONTH(d)&lt;=6,1,2)&amp;"'"&amp;RIGHT(YEAR(d),2))))</f>
        <v/>
      </c>
      <c r="FD11" s="76">
        <f>LET(d,EDATE($B$6,(COLUMN()-COLUMN($L$11))*$B$8),IF($B$8=1,TEXT(d,"MMM YY"),IF($B$8=3,"Q"&amp;ROUNDUP(MONTH(d)/3,0)&amp;"'"&amp;RIGHT(YEAR(d),2),"H"&amp;IF(MONTH(d)&lt;=6,1,2)&amp;"'"&amp;RIGHT(YEAR(d),2))))</f>
        <v/>
      </c>
      <c r="FE11" s="76">
        <f>LET(d,EDATE($B$6,(COLUMN()-COLUMN($L$11))*$B$8),IF($B$8=1,TEXT(d,"MMM YY"),IF($B$8=3,"Q"&amp;ROUNDUP(MONTH(d)/3,0)&amp;"'"&amp;RIGHT(YEAR(d),2),"H"&amp;IF(MONTH(d)&lt;=6,1,2)&amp;"'"&amp;RIGHT(YEAR(d),2))))</f>
        <v/>
      </c>
      <c r="FF11" s="76">
        <f>LET(d,EDATE($B$6,(COLUMN()-COLUMN($L$11))*$B$8),IF($B$8=1,TEXT(d,"MMM YY"),IF($B$8=3,"Q"&amp;ROUNDUP(MONTH(d)/3,0)&amp;"'"&amp;RIGHT(YEAR(d),2),"H"&amp;IF(MONTH(d)&lt;=6,1,2)&amp;"'"&amp;RIGHT(YEAR(d),2))))</f>
        <v/>
      </c>
      <c r="FG11" s="76">
        <f>LET(d,EDATE($B$6,(COLUMN()-COLUMN($L$11))*$B$8),IF($B$8=1,TEXT(d,"MMM YY"),IF($B$8=3,"Q"&amp;ROUNDUP(MONTH(d)/3,0)&amp;"'"&amp;RIGHT(YEAR(d),2),"H"&amp;IF(MONTH(d)&lt;=6,1,2)&amp;"'"&amp;RIGHT(YEAR(d),2))))</f>
        <v/>
      </c>
      <c r="FH11" s="76">
        <f>LET(d,EDATE($B$6,(COLUMN()-COLUMN($L$11))*$B$8),IF($B$8=1,TEXT(d,"MMM YY"),IF($B$8=3,"Q"&amp;ROUNDUP(MONTH(d)/3,0)&amp;"'"&amp;RIGHT(YEAR(d),2),"H"&amp;IF(MONTH(d)&lt;=6,1,2)&amp;"'"&amp;RIGHT(YEAR(d),2))))</f>
        <v/>
      </c>
      <c r="FI11" s="76">
        <f>LET(d,EDATE($B$6,(COLUMN()-COLUMN($L$11))*$B$8),IF($B$8=1,TEXT(d,"MMM YY"),IF($B$8=3,"Q"&amp;ROUNDUP(MONTH(d)/3,0)&amp;"'"&amp;RIGHT(YEAR(d),2),"H"&amp;IF(MONTH(d)&lt;=6,1,2)&amp;"'"&amp;RIGHT(YEAR(d),2))))</f>
        <v/>
      </c>
      <c r="FJ11" s="76">
        <f>LET(d,EDATE($B$6,(COLUMN()-COLUMN($L$11))*$B$8),IF($B$8=1,TEXT(d,"MMM YY"),IF($B$8=3,"Q"&amp;ROUNDUP(MONTH(d)/3,0)&amp;"'"&amp;RIGHT(YEAR(d),2),"H"&amp;IF(MONTH(d)&lt;=6,1,2)&amp;"'"&amp;RIGHT(YEAR(d),2))))</f>
        <v/>
      </c>
      <c r="FK11" s="76">
        <f>LET(d,EDATE($B$6,(COLUMN()-COLUMN($L$11))*$B$8),IF($B$8=1,TEXT(d,"MMM YY"),IF($B$8=3,"Q"&amp;ROUNDUP(MONTH(d)/3,0)&amp;"'"&amp;RIGHT(YEAR(d),2),"H"&amp;IF(MONTH(d)&lt;=6,1,2)&amp;"'"&amp;RIGHT(YEAR(d),2))))</f>
        <v/>
      </c>
      <c r="FL11" s="76">
        <f>LET(d,EDATE($B$6,(COLUMN()-COLUMN($L$11))*$B$8),IF($B$8=1,TEXT(d,"MMM YY"),IF($B$8=3,"Q"&amp;ROUNDUP(MONTH(d)/3,0)&amp;"'"&amp;RIGHT(YEAR(d),2),"H"&amp;IF(MONTH(d)&lt;=6,1,2)&amp;"'"&amp;RIGHT(YEAR(d),2))))</f>
        <v/>
      </c>
      <c r="FM11" s="76">
        <f>LET(d,EDATE($B$6,(COLUMN()-COLUMN($L$11))*$B$8),IF($B$8=1,TEXT(d,"MMM YY"),IF($B$8=3,"Q"&amp;ROUNDUP(MONTH(d)/3,0)&amp;"'"&amp;RIGHT(YEAR(d),2),"H"&amp;IF(MONTH(d)&lt;=6,1,2)&amp;"'"&amp;RIGHT(YEAR(d),2))))</f>
        <v/>
      </c>
      <c r="FN11" s="76">
        <f>LET(d,EDATE($B$6,(COLUMN()-COLUMN($L$11))*$B$8),IF($B$8=1,TEXT(d,"MMM YY"),IF($B$8=3,"Q"&amp;ROUNDUP(MONTH(d)/3,0)&amp;"'"&amp;RIGHT(YEAR(d),2),"H"&amp;IF(MONTH(d)&lt;=6,1,2)&amp;"'"&amp;RIGHT(YEAR(d),2))))</f>
        <v/>
      </c>
      <c r="FO11" s="76">
        <f>LET(d,EDATE($B$6,(COLUMN()-COLUMN($L$11))*$B$8),IF($B$8=1,TEXT(d,"MMM YY"),IF($B$8=3,"Q"&amp;ROUNDUP(MONTH(d)/3,0)&amp;"'"&amp;RIGHT(YEAR(d),2),"H"&amp;IF(MONTH(d)&lt;=6,1,2)&amp;"'"&amp;RIGHT(YEAR(d),2))))</f>
        <v/>
      </c>
      <c r="FP11" s="76">
        <f>LET(d,EDATE($B$6,(COLUMN()-COLUMN($L$11))*$B$8),IF($B$8=1,TEXT(d,"MMM YY"),IF($B$8=3,"Q"&amp;ROUNDUP(MONTH(d)/3,0)&amp;"'"&amp;RIGHT(YEAR(d),2),"H"&amp;IF(MONTH(d)&lt;=6,1,2)&amp;"'"&amp;RIGHT(YEAR(d),2))))</f>
        <v/>
      </c>
      <c r="FQ11" s="76">
        <f>LET(d,EDATE($B$6,(COLUMN()-COLUMN($L$11))*$B$8),IF($B$8=1,TEXT(d,"MMM YY"),IF($B$8=3,"Q"&amp;ROUNDUP(MONTH(d)/3,0)&amp;"'"&amp;RIGHT(YEAR(d),2),"H"&amp;IF(MONTH(d)&lt;=6,1,2)&amp;"'"&amp;RIGHT(YEAR(d),2))))</f>
        <v/>
      </c>
      <c r="FR11" s="76">
        <f>LET(d,EDATE($B$6,(COLUMN()-COLUMN($L$11))*$B$8),IF($B$8=1,TEXT(d,"MMM YY"),IF($B$8=3,"Q"&amp;ROUNDUP(MONTH(d)/3,0)&amp;"'"&amp;RIGHT(YEAR(d),2),"H"&amp;IF(MONTH(d)&lt;=6,1,2)&amp;"'"&amp;RIGHT(YEAR(d),2))))</f>
        <v/>
      </c>
      <c r="FS11" s="76">
        <f>LET(d,EDATE($B$6,(COLUMN()-COLUMN($L$11))*$B$8),IF($B$8=1,TEXT(d,"MMM YY"),IF($B$8=3,"Q"&amp;ROUNDUP(MONTH(d)/3,0)&amp;"'"&amp;RIGHT(YEAR(d),2),"H"&amp;IF(MONTH(d)&lt;=6,1,2)&amp;"'"&amp;RIGHT(YEAR(d),2))))</f>
        <v/>
      </c>
      <c r="FT11" s="76">
        <f>LET(d,EDATE($B$6,(COLUMN()-COLUMN($L$11))*$B$8),IF($B$8=1,TEXT(d,"MMM YY"),IF($B$8=3,"Q"&amp;ROUNDUP(MONTH(d)/3,0)&amp;"'"&amp;RIGHT(YEAR(d),2),"H"&amp;IF(MONTH(d)&lt;=6,1,2)&amp;"'"&amp;RIGHT(YEAR(d),2))))</f>
        <v/>
      </c>
      <c r="FU11" s="76">
        <f>LET(d,EDATE($B$6,(COLUMN()-COLUMN($L$11))*$B$8),IF($B$8=1,TEXT(d,"MMM YY"),IF($B$8=3,"Q"&amp;ROUNDUP(MONTH(d)/3,0)&amp;"'"&amp;RIGHT(YEAR(d),2),"H"&amp;IF(MONTH(d)&lt;=6,1,2)&amp;"'"&amp;RIGHT(YEAR(d),2))))</f>
        <v/>
      </c>
      <c r="FV11" s="76">
        <f>LET(d,EDATE($B$6,(COLUMN()-COLUMN($L$11))*$B$8),IF($B$8=1,TEXT(d,"MMM YY"),IF($B$8=3,"Q"&amp;ROUNDUP(MONTH(d)/3,0)&amp;"'"&amp;RIGHT(YEAR(d),2),"H"&amp;IF(MONTH(d)&lt;=6,1,2)&amp;"'"&amp;RIGHT(YEAR(d),2))))</f>
        <v/>
      </c>
      <c r="FW11" s="76">
        <f>LET(d,EDATE($B$6,(COLUMN()-COLUMN($L$11))*$B$8),IF($B$8=1,TEXT(d,"MMM YY"),IF($B$8=3,"Q"&amp;ROUNDUP(MONTH(d)/3,0)&amp;"'"&amp;RIGHT(YEAR(d),2),"H"&amp;IF(MONTH(d)&lt;=6,1,2)&amp;"'"&amp;RIGHT(YEAR(d),2))))</f>
        <v/>
      </c>
      <c r="FX11" s="76">
        <f>LET(d,EDATE($B$6,(COLUMN()-COLUMN($L$11))*$B$8),IF($B$8=1,TEXT(d,"MMM YY"),IF($B$8=3,"Q"&amp;ROUNDUP(MONTH(d)/3,0)&amp;"'"&amp;RIGHT(YEAR(d),2),"H"&amp;IF(MONTH(d)&lt;=6,1,2)&amp;"'"&amp;RIGHT(YEAR(d),2))))</f>
        <v/>
      </c>
      <c r="FY11" s="76">
        <f>LET(d,EDATE($B$6,(COLUMN()-COLUMN($L$11))*$B$8),IF($B$8=1,TEXT(d,"MMM YY"),IF($B$8=3,"Q"&amp;ROUNDUP(MONTH(d)/3,0)&amp;"'"&amp;RIGHT(YEAR(d),2),"H"&amp;IF(MONTH(d)&lt;=6,1,2)&amp;"'"&amp;RIGHT(YEAR(d),2))))</f>
        <v/>
      </c>
      <c r="FZ11" s="76">
        <f>LET(d,EDATE($B$6,(COLUMN()-COLUMN($L$11))*$B$8),IF($B$8=1,TEXT(d,"MMM YY"),IF($B$8=3,"Q"&amp;ROUNDUP(MONTH(d)/3,0)&amp;"'"&amp;RIGHT(YEAR(d),2),"H"&amp;IF(MONTH(d)&lt;=6,1,2)&amp;"'"&amp;RIGHT(YEAR(d),2))))</f>
        <v/>
      </c>
      <c r="GA11" s="76">
        <f>LET(d,EDATE($B$6,(COLUMN()-COLUMN($L$11))*$B$8),IF($B$8=1,TEXT(d,"MMM YY"),IF($B$8=3,"Q"&amp;ROUNDUP(MONTH(d)/3,0)&amp;"'"&amp;RIGHT(YEAR(d),2),"H"&amp;IF(MONTH(d)&lt;=6,1,2)&amp;"'"&amp;RIGHT(YEAR(d),2))))</f>
        <v/>
      </c>
      <c r="GB11" s="76">
        <f>LET(d,EDATE($B$6,(COLUMN()-COLUMN($L$11))*$B$8),IF($B$8=1,TEXT(d,"MMM YY"),IF($B$8=3,"Q"&amp;ROUNDUP(MONTH(d)/3,0)&amp;"'"&amp;RIGHT(YEAR(d),2),"H"&amp;IF(MONTH(d)&lt;=6,1,2)&amp;"'"&amp;RIGHT(YEAR(d),2))))</f>
        <v/>
      </c>
      <c r="GC11" s="76">
        <f>LET(d,EDATE($B$6,(COLUMN()-COLUMN($L$11))*$B$8),IF($B$8=1,TEXT(d,"MMM YY"),IF($B$8=3,"Q"&amp;ROUNDUP(MONTH(d)/3,0)&amp;"'"&amp;RIGHT(YEAR(d),2),"H"&amp;IF(MONTH(d)&lt;=6,1,2)&amp;"'"&amp;RIGHT(YEAR(d),2))))</f>
        <v/>
      </c>
      <c r="GD11" s="76">
        <f>LET(d,EDATE($B$6,(COLUMN()-COLUMN($L$11))*$B$8),IF($B$8=1,TEXT(d,"MMM YY"),IF($B$8=3,"Q"&amp;ROUNDUP(MONTH(d)/3,0)&amp;"'"&amp;RIGHT(YEAR(d),2),"H"&amp;IF(MONTH(d)&lt;=6,1,2)&amp;"'"&amp;RIGHT(YEAR(d),2))))</f>
        <v/>
      </c>
      <c r="GE11" s="76">
        <f>LET(d,EDATE($B$6,(COLUMN()-COLUMN($L$11))*$B$8),IF($B$8=1,TEXT(d,"MMM YY"),IF($B$8=3,"Q"&amp;ROUNDUP(MONTH(d)/3,0)&amp;"'"&amp;RIGHT(YEAR(d),2),"H"&amp;IF(MONTH(d)&lt;=6,1,2)&amp;"'"&amp;RIGHT(YEAR(d),2))))</f>
        <v/>
      </c>
      <c r="GF11" s="76">
        <f>LET(d,EDATE($B$6,(COLUMN()-COLUMN($L$11))*$B$8),IF($B$8=1,TEXT(d,"MMM YY"),IF($B$8=3,"Q"&amp;ROUNDUP(MONTH(d)/3,0)&amp;"'"&amp;RIGHT(YEAR(d),2),"H"&amp;IF(MONTH(d)&lt;=6,1,2)&amp;"'"&amp;RIGHT(YEAR(d),2))))</f>
        <v/>
      </c>
      <c r="GG11" s="76">
        <f>LET(d,EDATE($B$6,(COLUMN()-COLUMN($L$11))*$B$8),IF($B$8=1,TEXT(d,"MMM YY"),IF($B$8=3,"Q"&amp;ROUNDUP(MONTH(d)/3,0)&amp;"'"&amp;RIGHT(YEAR(d),2),"H"&amp;IF(MONTH(d)&lt;=6,1,2)&amp;"'"&amp;RIGHT(YEAR(d),2))))</f>
        <v/>
      </c>
      <c r="GH11" s="76">
        <f>LET(d,EDATE($B$6,(COLUMN()-COLUMN($L$11))*$B$8),IF($B$8=1,TEXT(d,"MMM YY"),IF($B$8=3,"Q"&amp;ROUNDUP(MONTH(d)/3,0)&amp;"'"&amp;RIGHT(YEAR(d),2),"H"&amp;IF(MONTH(d)&lt;=6,1,2)&amp;"'"&amp;RIGHT(YEAR(d),2))))</f>
        <v/>
      </c>
      <c r="GI11" s="76">
        <f>LET(d,EDATE($B$6,(COLUMN()-COLUMN($L$11))*$B$8),IF($B$8=1,TEXT(d,"MMM YY"),IF($B$8=3,"Q"&amp;ROUNDUP(MONTH(d)/3,0)&amp;"'"&amp;RIGHT(YEAR(d),2),"H"&amp;IF(MONTH(d)&lt;=6,1,2)&amp;"'"&amp;RIGHT(YEAR(d),2))))</f>
        <v/>
      </c>
      <c r="GJ11" s="76">
        <f>LET(d,EDATE($B$6,(COLUMN()-COLUMN($L$11))*$B$8),IF($B$8=1,TEXT(d,"MMM YY"),IF($B$8=3,"Q"&amp;ROUNDUP(MONTH(d)/3,0)&amp;"'"&amp;RIGHT(YEAR(d),2),"H"&amp;IF(MONTH(d)&lt;=6,1,2)&amp;"'"&amp;RIGHT(YEAR(d),2))))</f>
        <v/>
      </c>
      <c r="GK11" s="76">
        <f>LET(d,EDATE($B$6,(COLUMN()-COLUMN($L$11))*$B$8),IF($B$8=1,TEXT(d,"MMM YY"),IF($B$8=3,"Q"&amp;ROUNDUP(MONTH(d)/3,0)&amp;"'"&amp;RIGHT(YEAR(d),2),"H"&amp;IF(MONTH(d)&lt;=6,1,2)&amp;"'"&amp;RIGHT(YEAR(d),2))))</f>
        <v/>
      </c>
      <c r="GL11" s="76">
        <f>LET(d,EDATE($B$6,(COLUMN()-COLUMN($L$11))*$B$8),IF($B$8=1,TEXT(d,"MMM YY"),IF($B$8=3,"Q"&amp;ROUNDUP(MONTH(d)/3,0)&amp;"'"&amp;RIGHT(YEAR(d),2),"H"&amp;IF(MONTH(d)&lt;=6,1,2)&amp;"'"&amp;RIGHT(YEAR(d),2))))</f>
        <v/>
      </c>
      <c r="GM11" s="76">
        <f>LET(d,EDATE($B$6,(COLUMN()-COLUMN($L$11))*$B$8),IF($B$8=1,TEXT(d,"MMM YY"),IF($B$8=3,"Q"&amp;ROUNDUP(MONTH(d)/3,0)&amp;"'"&amp;RIGHT(YEAR(d),2),"H"&amp;IF(MONTH(d)&lt;=6,1,2)&amp;"'"&amp;RIGHT(YEAR(d),2))))</f>
        <v/>
      </c>
      <c r="GN11" s="76">
        <f>LET(d,EDATE($B$6,(COLUMN()-COLUMN($L$11))*$B$8),IF($B$8=1,TEXT(d,"MMM YY"),IF($B$8=3,"Q"&amp;ROUNDUP(MONTH(d)/3,0)&amp;"'"&amp;RIGHT(YEAR(d),2),"H"&amp;IF(MONTH(d)&lt;=6,1,2)&amp;"'"&amp;RIGHT(YEAR(d),2))))</f>
        <v/>
      </c>
      <c r="GO11" s="76">
        <f>LET(d,EDATE($B$6,(COLUMN()-COLUMN($L$11))*$B$8),IF($B$8=1,TEXT(d,"MMM YY"),IF($B$8=3,"Q"&amp;ROUNDUP(MONTH(d)/3,0)&amp;"'"&amp;RIGHT(YEAR(d),2),"H"&amp;IF(MONTH(d)&lt;=6,1,2)&amp;"'"&amp;RIGHT(YEAR(d),2))))</f>
        <v/>
      </c>
      <c r="GP11" s="76">
        <f>LET(d,EDATE($B$6,(COLUMN()-COLUMN($L$11))*$B$8),IF($B$8=1,TEXT(d,"MMM YY"),IF($B$8=3,"Q"&amp;ROUNDUP(MONTH(d)/3,0)&amp;"'"&amp;RIGHT(YEAR(d),2),"H"&amp;IF(MONTH(d)&lt;=6,1,2)&amp;"'"&amp;RIGHT(YEAR(d),2))))</f>
        <v/>
      </c>
      <c r="GQ11" s="76">
        <f>LET(d,EDATE($B$6,(COLUMN()-COLUMN($L$11))*$B$8),IF($B$8=1,TEXT(d,"MMM YY"),IF($B$8=3,"Q"&amp;ROUNDUP(MONTH(d)/3,0)&amp;"'"&amp;RIGHT(YEAR(d),2),"H"&amp;IF(MONTH(d)&lt;=6,1,2)&amp;"'"&amp;RIGHT(YEAR(d),2))))</f>
        <v/>
      </c>
      <c r="GR11" s="76">
        <f>LET(d,EDATE($B$6,(COLUMN()-COLUMN($L$11))*$B$8),IF($B$8=1,TEXT(d,"MMM YY"),IF($B$8=3,"Q"&amp;ROUNDUP(MONTH(d)/3,0)&amp;"'"&amp;RIGHT(YEAR(d),2),"H"&amp;IF(MONTH(d)&lt;=6,1,2)&amp;"'"&amp;RIGHT(YEAR(d),2))))</f>
        <v/>
      </c>
      <c r="GS11" s="76">
        <f>LET(d,EDATE($B$6,(COLUMN()-COLUMN($L$11))*$B$8),IF($B$8=1,TEXT(d,"MMM YY"),IF($B$8=3,"Q"&amp;ROUNDUP(MONTH(d)/3,0)&amp;"'"&amp;RIGHT(YEAR(d),2),"H"&amp;IF(MONTH(d)&lt;=6,1,2)&amp;"'"&amp;RIGHT(YEAR(d),2))))</f>
        <v/>
      </c>
      <c r="GT11" s="76">
        <f>LET(d,EDATE($B$6,(COLUMN()-COLUMN($L$11))*$B$8),IF($B$8=1,TEXT(d,"MMM YY"),IF($B$8=3,"Q"&amp;ROUNDUP(MONTH(d)/3,0)&amp;"'"&amp;RIGHT(YEAR(d),2),"H"&amp;IF(MONTH(d)&lt;=6,1,2)&amp;"'"&amp;RIGHT(YEAR(d),2))))</f>
        <v/>
      </c>
      <c r="GU11" s="76">
        <f>LET(d,EDATE($B$6,(COLUMN()-COLUMN($L$11))*$B$8),IF($B$8=1,TEXT(d,"MMM YY"),IF($B$8=3,"Q"&amp;ROUNDUP(MONTH(d)/3,0)&amp;"'"&amp;RIGHT(YEAR(d),2),"H"&amp;IF(MONTH(d)&lt;=6,1,2)&amp;"'"&amp;RIGHT(YEAR(d),2))))</f>
        <v/>
      </c>
      <c r="GV11" s="76">
        <f>LET(d,EDATE($B$6,(COLUMN()-COLUMN($L$11))*$B$8),IF($B$8=1,TEXT(d,"MMM YY"),IF($B$8=3,"Q"&amp;ROUNDUP(MONTH(d)/3,0)&amp;"'"&amp;RIGHT(YEAR(d),2),"H"&amp;IF(MONTH(d)&lt;=6,1,2)&amp;"'"&amp;RIGHT(YEAR(d),2))))</f>
        <v/>
      </c>
      <c r="GW11" s="76">
        <f>LET(d,EDATE($B$6,(COLUMN()-COLUMN($L$11))*$B$8),IF($B$8=1,TEXT(d,"MMM YY"),IF($B$8=3,"Q"&amp;ROUNDUP(MONTH(d)/3,0)&amp;"'"&amp;RIGHT(YEAR(d),2),"H"&amp;IF(MONTH(d)&lt;=6,1,2)&amp;"'"&amp;RIGHT(YEAR(d),2))))</f>
        <v/>
      </c>
      <c r="GX11" s="76">
        <f>LET(d,EDATE($B$6,(COLUMN()-COLUMN($L$11))*$B$8),IF($B$8=1,TEXT(d,"MMM YY"),IF($B$8=3,"Q"&amp;ROUNDUP(MONTH(d)/3,0)&amp;"'"&amp;RIGHT(YEAR(d),2),"H"&amp;IF(MONTH(d)&lt;=6,1,2)&amp;"'"&amp;RIGHT(YEAR(d),2))))</f>
        <v/>
      </c>
      <c r="GY11" s="76">
        <f>LET(d,EDATE($B$6,(COLUMN()-COLUMN($L$11))*$B$8),IF($B$8=1,TEXT(d,"MMM YY"),IF($B$8=3,"Q"&amp;ROUNDUP(MONTH(d)/3,0)&amp;"'"&amp;RIGHT(YEAR(d),2),"H"&amp;IF(MONTH(d)&lt;=6,1,2)&amp;"'"&amp;RIGHT(YEAR(d),2))))</f>
        <v/>
      </c>
      <c r="GZ11" s="76">
        <f>LET(d,EDATE($B$6,(COLUMN()-COLUMN($L$11))*$B$8),IF($B$8=1,TEXT(d,"MMM YY"),IF($B$8=3,"Q"&amp;ROUNDUP(MONTH(d)/3,0)&amp;"'"&amp;RIGHT(YEAR(d),2),"H"&amp;IF(MONTH(d)&lt;=6,1,2)&amp;"'"&amp;RIGHT(YEAR(d),2))))</f>
        <v/>
      </c>
      <c r="HA11" s="76">
        <f>LET(d,EDATE($B$6,(COLUMN()-COLUMN($L$11))*$B$8),IF($B$8=1,TEXT(d,"MMM YY"),IF($B$8=3,"Q"&amp;ROUNDUP(MONTH(d)/3,0)&amp;"'"&amp;RIGHT(YEAR(d),2),"H"&amp;IF(MONTH(d)&lt;=6,1,2)&amp;"'"&amp;RIGHT(YEAR(d),2))))</f>
        <v/>
      </c>
      <c r="HB11" s="76">
        <f>LET(d,EDATE($B$6,(COLUMN()-COLUMN($L$11))*$B$8),IF($B$8=1,TEXT(d,"MMM YY"),IF($B$8=3,"Q"&amp;ROUNDUP(MONTH(d)/3,0)&amp;"'"&amp;RIGHT(YEAR(d),2),"H"&amp;IF(MONTH(d)&lt;=6,1,2)&amp;"'"&amp;RIGHT(YEAR(d),2))))</f>
        <v/>
      </c>
      <c r="HC11" s="76">
        <f>LET(d,EDATE($B$6,(COLUMN()-COLUMN($L$11))*$B$8),IF($B$8=1,TEXT(d,"MMM YY"),IF($B$8=3,"Q"&amp;ROUNDUP(MONTH(d)/3,0)&amp;"'"&amp;RIGHT(YEAR(d),2),"H"&amp;IF(MONTH(d)&lt;=6,1,2)&amp;"'"&amp;RIGHT(YEAR(d),2))))</f>
        <v/>
      </c>
    </row>
    <row r="12">
      <c r="A12" s="59" t="inlineStr">
        <is>
          <t>Months</t>
        </is>
      </c>
      <c r="B12" s="66" t="n">
        <v>18</v>
      </c>
      <c r="C12" s="66" t="n">
        <v>24</v>
      </c>
      <c r="D12" s="66" t="n">
        <v>36</v>
      </c>
      <c r="E12" s="66" t="n">
        <v>48</v>
      </c>
      <c r="F12" s="66" t="n">
        <v>60</v>
      </c>
      <c r="G12" s="66" t="n">
        <v>84</v>
      </c>
      <c r="H12" s="66" t="n">
        <v>144</v>
      </c>
      <c r="I12" s="66">
        <f>IFERROR(I13*$B$8,"")</f>
        <v/>
      </c>
      <c r="K12" s="67" t="inlineStr">
        <is>
          <t>Date</t>
        </is>
      </c>
      <c r="L12" s="79">
        <f>$B$6</f>
        <v/>
      </c>
      <c r="M12" s="77">
        <f>EDATE(L12,$B$8)</f>
        <v/>
      </c>
      <c r="N12" s="77">
        <f>EDATE(M12,$B$8)</f>
        <v/>
      </c>
      <c r="O12" s="77">
        <f>EDATE(N12,$B$8)</f>
        <v/>
      </c>
      <c r="P12" s="77">
        <f>EDATE(O12,$B$8)</f>
        <v/>
      </c>
      <c r="Q12" s="77">
        <f>EDATE(P12,$B$8)</f>
        <v/>
      </c>
      <c r="R12" s="77">
        <f>EDATE(Q12,$B$8)</f>
        <v/>
      </c>
      <c r="S12" s="77">
        <f>EDATE(R12,$B$8)</f>
        <v/>
      </c>
      <c r="T12" s="77">
        <f>EDATE(S12,$B$8)</f>
        <v/>
      </c>
      <c r="U12" s="77">
        <f>EDATE(T12,$B$8)</f>
        <v/>
      </c>
      <c r="V12" s="77">
        <f>EDATE(U12,$B$8)</f>
        <v/>
      </c>
      <c r="W12" s="77">
        <f>EDATE(V12,$B$8)</f>
        <v/>
      </c>
      <c r="X12" s="77">
        <f>EDATE(W12,$B$8)</f>
        <v/>
      </c>
      <c r="Y12" s="77">
        <f>EDATE(X12,$B$8)</f>
        <v/>
      </c>
      <c r="Z12" s="77">
        <f>EDATE(Y12,$B$8)</f>
        <v/>
      </c>
      <c r="AA12" s="77">
        <f>EDATE(Z12,$B$8)</f>
        <v/>
      </c>
      <c r="AB12" s="77">
        <f>EDATE(AA12,$B$8)</f>
        <v/>
      </c>
      <c r="AC12" s="77">
        <f>EDATE(AB12,$B$8)</f>
        <v/>
      </c>
      <c r="AD12" s="77">
        <f>EDATE(AC12,$B$8)</f>
        <v/>
      </c>
      <c r="AE12" s="77">
        <f>EDATE(AD12,$B$8)</f>
        <v/>
      </c>
      <c r="AF12" s="77">
        <f>EDATE(AE12,$B$8)</f>
        <v/>
      </c>
      <c r="AG12" s="77">
        <f>EDATE(AF12,$B$8)</f>
        <v/>
      </c>
      <c r="AH12" s="77">
        <f>EDATE(AG12,$B$8)</f>
        <v/>
      </c>
      <c r="AI12" s="77">
        <f>EDATE(AH12,$B$8)</f>
        <v/>
      </c>
      <c r="AJ12" s="77">
        <f>EDATE(AI12,$B$8)</f>
        <v/>
      </c>
      <c r="AK12" s="77">
        <f>EDATE(AJ12,$B$8)</f>
        <v/>
      </c>
      <c r="AL12" s="77">
        <f>EDATE(AK12,$B$8)</f>
        <v/>
      </c>
      <c r="AM12" s="77">
        <f>EDATE(AL12,$B$8)</f>
        <v/>
      </c>
      <c r="AN12" s="77">
        <f>EDATE(AM12,$B$8)</f>
        <v/>
      </c>
      <c r="AO12" s="77">
        <f>EDATE(AN12,$B$8)</f>
        <v/>
      </c>
      <c r="AP12" s="77">
        <f>EDATE(AO12,$B$8)</f>
        <v/>
      </c>
      <c r="AQ12" s="77">
        <f>EDATE(AP12,$B$8)</f>
        <v/>
      </c>
      <c r="AR12" s="77">
        <f>EDATE(AQ12,$B$8)</f>
        <v/>
      </c>
      <c r="AS12" s="77">
        <f>EDATE(AR12,$B$8)</f>
        <v/>
      </c>
      <c r="AT12" s="77">
        <f>EDATE(AS12,$B$8)</f>
        <v/>
      </c>
      <c r="AU12" s="77">
        <f>EDATE(AT12,$B$8)</f>
        <v/>
      </c>
      <c r="AV12" s="77">
        <f>EDATE(AU12,$B$8)</f>
        <v/>
      </c>
      <c r="AW12" s="77">
        <f>EDATE(AV12,$B$8)</f>
        <v/>
      </c>
      <c r="AX12" s="77">
        <f>EDATE(AW12,$B$8)</f>
        <v/>
      </c>
      <c r="AY12" s="77">
        <f>EDATE(AX12,$B$8)</f>
        <v/>
      </c>
      <c r="AZ12" s="77">
        <f>EDATE(AY12,$B$8)</f>
        <v/>
      </c>
      <c r="BA12" s="77">
        <f>EDATE(AZ12,$B$8)</f>
        <v/>
      </c>
      <c r="BB12" s="77">
        <f>EDATE(BA12,$B$8)</f>
        <v/>
      </c>
      <c r="BC12" s="77">
        <f>EDATE(BB12,$B$8)</f>
        <v/>
      </c>
      <c r="BD12" s="77">
        <f>EDATE(BC12,$B$8)</f>
        <v/>
      </c>
      <c r="BE12" s="77">
        <f>EDATE(BD12,$B$8)</f>
        <v/>
      </c>
      <c r="BF12" s="77">
        <f>EDATE(BE12,$B$8)</f>
        <v/>
      </c>
      <c r="BG12" s="77">
        <f>EDATE(BF12,$B$8)</f>
        <v/>
      </c>
      <c r="BH12" s="77">
        <f>EDATE(BG12,$B$8)</f>
        <v/>
      </c>
      <c r="BI12" s="77">
        <f>EDATE(BH12,$B$8)</f>
        <v/>
      </c>
      <c r="BJ12" s="77">
        <f>EDATE(BI12,$B$8)</f>
        <v/>
      </c>
      <c r="BK12" s="77">
        <f>EDATE(BJ12,$B$8)</f>
        <v/>
      </c>
      <c r="BL12" s="77">
        <f>EDATE(BK12,$B$8)</f>
        <v/>
      </c>
      <c r="BM12" s="77">
        <f>EDATE(BL12,$B$8)</f>
        <v/>
      </c>
      <c r="BN12" s="77">
        <f>EDATE(BM12,$B$8)</f>
        <v/>
      </c>
      <c r="BO12" s="77">
        <f>EDATE(BN12,$B$8)</f>
        <v/>
      </c>
      <c r="BP12" s="77">
        <f>EDATE(BO12,$B$8)</f>
        <v/>
      </c>
      <c r="BQ12" s="77">
        <f>EDATE(BP12,$B$8)</f>
        <v/>
      </c>
      <c r="BR12" s="77">
        <f>EDATE(BQ12,$B$8)</f>
        <v/>
      </c>
      <c r="BS12" s="77">
        <f>EDATE(BR12,$B$8)</f>
        <v/>
      </c>
      <c r="BT12" s="77">
        <f>EDATE(BS12,$B$8)</f>
        <v/>
      </c>
      <c r="BU12" s="77">
        <f>EDATE(BT12,$B$8)</f>
        <v/>
      </c>
      <c r="BV12" s="77">
        <f>EDATE(BU12,$B$8)</f>
        <v/>
      </c>
      <c r="BW12" s="77">
        <f>EDATE(BV12,$B$8)</f>
        <v/>
      </c>
      <c r="BX12" s="77">
        <f>EDATE(BW12,$B$8)</f>
        <v/>
      </c>
      <c r="BY12" s="77">
        <f>EDATE(BX12,$B$8)</f>
        <v/>
      </c>
      <c r="BZ12" s="77">
        <f>EDATE(BY12,$B$8)</f>
        <v/>
      </c>
      <c r="CA12" s="77">
        <f>EDATE(BZ12,$B$8)</f>
        <v/>
      </c>
      <c r="CB12" s="77">
        <f>EDATE(CA12,$B$8)</f>
        <v/>
      </c>
      <c r="CC12" s="77">
        <f>EDATE(CB12,$B$8)</f>
        <v/>
      </c>
      <c r="CD12" s="77">
        <f>EDATE(CC12,$B$8)</f>
        <v/>
      </c>
      <c r="CE12" s="77">
        <f>EDATE(CD12,$B$8)</f>
        <v/>
      </c>
      <c r="CF12" s="77">
        <f>EDATE(CE12,$B$8)</f>
        <v/>
      </c>
      <c r="CG12" s="77">
        <f>EDATE(CF12,$B$8)</f>
        <v/>
      </c>
      <c r="CH12" s="77">
        <f>EDATE(CG12,$B$8)</f>
        <v/>
      </c>
      <c r="CI12" s="77">
        <f>EDATE(CH12,$B$8)</f>
        <v/>
      </c>
      <c r="CJ12" s="77">
        <f>EDATE(CI12,$B$8)</f>
        <v/>
      </c>
      <c r="CK12" s="77">
        <f>EDATE(CJ12,$B$8)</f>
        <v/>
      </c>
      <c r="CL12" s="77">
        <f>EDATE(CK12,$B$8)</f>
        <v/>
      </c>
      <c r="CM12" s="77">
        <f>EDATE(CL12,$B$8)</f>
        <v/>
      </c>
      <c r="CN12" s="77">
        <f>EDATE(CM12,$B$8)</f>
        <v/>
      </c>
      <c r="CO12" s="77">
        <f>EDATE(CN12,$B$8)</f>
        <v/>
      </c>
      <c r="CP12" s="77">
        <f>EDATE(CO12,$B$8)</f>
        <v/>
      </c>
      <c r="CQ12" s="77">
        <f>EDATE(CP12,$B$8)</f>
        <v/>
      </c>
      <c r="CR12" s="77">
        <f>EDATE(CQ12,$B$8)</f>
        <v/>
      </c>
      <c r="CS12" s="77">
        <f>EDATE(CR12,$B$8)</f>
        <v/>
      </c>
      <c r="CT12" s="77">
        <f>EDATE(CS12,$B$8)</f>
        <v/>
      </c>
      <c r="CU12" s="77">
        <f>EDATE(CT12,$B$8)</f>
        <v/>
      </c>
      <c r="CV12" s="77">
        <f>EDATE(CU12,$B$8)</f>
        <v/>
      </c>
      <c r="CW12" s="77">
        <f>EDATE(CV12,$B$8)</f>
        <v/>
      </c>
      <c r="CX12" s="77">
        <f>EDATE(CW12,$B$8)</f>
        <v/>
      </c>
      <c r="CY12" s="77">
        <f>EDATE(CX12,$B$8)</f>
        <v/>
      </c>
      <c r="CZ12" s="77">
        <f>EDATE(CY12,$B$8)</f>
        <v/>
      </c>
      <c r="DA12" s="77">
        <f>EDATE(CZ12,$B$8)</f>
        <v/>
      </c>
      <c r="DB12" s="77">
        <f>EDATE(DA12,$B$8)</f>
        <v/>
      </c>
      <c r="DC12" s="77">
        <f>EDATE(DB12,$B$8)</f>
        <v/>
      </c>
      <c r="DD12" s="77">
        <f>EDATE(DC12,$B$8)</f>
        <v/>
      </c>
      <c r="DE12" s="77">
        <f>EDATE(DD12,$B$8)</f>
        <v/>
      </c>
      <c r="DF12" s="77">
        <f>EDATE(DE12,$B$8)</f>
        <v/>
      </c>
      <c r="DG12" s="77">
        <f>EDATE(DF12,$B$8)</f>
        <v/>
      </c>
      <c r="DH12" s="77">
        <f>EDATE(DG12,$B$8)</f>
        <v/>
      </c>
      <c r="DI12" s="77">
        <f>EDATE(DH12,$B$8)</f>
        <v/>
      </c>
      <c r="DJ12" s="77">
        <f>EDATE(DI12,$B$8)</f>
        <v/>
      </c>
      <c r="DK12" s="77">
        <f>EDATE(DJ12,$B$8)</f>
        <v/>
      </c>
      <c r="DL12" s="77">
        <f>EDATE(DK12,$B$8)</f>
        <v/>
      </c>
      <c r="DM12" s="77">
        <f>EDATE(DL12,$B$8)</f>
        <v/>
      </c>
      <c r="DN12" s="77">
        <f>EDATE(DM12,$B$8)</f>
        <v/>
      </c>
      <c r="DO12" s="77">
        <f>EDATE(DN12,$B$8)</f>
        <v/>
      </c>
      <c r="DP12" s="77">
        <f>EDATE(DO12,$B$8)</f>
        <v/>
      </c>
      <c r="DQ12" s="77">
        <f>EDATE(DP12,$B$8)</f>
        <v/>
      </c>
      <c r="DR12" s="77">
        <f>EDATE(DQ12,$B$8)</f>
        <v/>
      </c>
      <c r="DS12" s="77">
        <f>EDATE(DR12,$B$8)</f>
        <v/>
      </c>
      <c r="DT12" s="77">
        <f>EDATE(DS12,$B$8)</f>
        <v/>
      </c>
      <c r="DU12" s="77">
        <f>EDATE(DT12,$B$8)</f>
        <v/>
      </c>
      <c r="DV12" s="77">
        <f>EDATE(DU12,$B$8)</f>
        <v/>
      </c>
      <c r="DW12" s="77">
        <f>EDATE(DV12,$B$8)</f>
        <v/>
      </c>
      <c r="DX12" s="77">
        <f>EDATE(DW12,$B$8)</f>
        <v/>
      </c>
      <c r="DY12" s="77">
        <f>EDATE(DX12,$B$8)</f>
        <v/>
      </c>
      <c r="DZ12" s="77">
        <f>EDATE(DY12,$B$8)</f>
        <v/>
      </c>
      <c r="EA12" s="77">
        <f>EDATE(DZ12,$B$8)</f>
        <v/>
      </c>
      <c r="EB12" s="77">
        <f>EDATE(EA12,$B$8)</f>
        <v/>
      </c>
      <c r="EC12" s="77">
        <f>EDATE(EB12,$B$8)</f>
        <v/>
      </c>
      <c r="ED12" s="77">
        <f>EDATE(EC12,$B$8)</f>
        <v/>
      </c>
      <c r="EE12" s="77">
        <f>EDATE(ED12,$B$8)</f>
        <v/>
      </c>
      <c r="EF12" s="77">
        <f>EDATE(EE12,$B$8)</f>
        <v/>
      </c>
      <c r="EG12" s="77">
        <f>EDATE(EF12,$B$8)</f>
        <v/>
      </c>
      <c r="EH12" s="77">
        <f>EDATE(EG12,$B$8)</f>
        <v/>
      </c>
      <c r="EI12" s="77">
        <f>EDATE(EH12,$B$8)</f>
        <v/>
      </c>
      <c r="EJ12" s="77">
        <f>EDATE(EI12,$B$8)</f>
        <v/>
      </c>
      <c r="EK12" s="77">
        <f>EDATE(EJ12,$B$8)</f>
        <v/>
      </c>
      <c r="EL12" s="77">
        <f>EDATE(EK12,$B$8)</f>
        <v/>
      </c>
      <c r="EM12" s="77">
        <f>EDATE(EL12,$B$8)</f>
        <v/>
      </c>
      <c r="EN12" s="77">
        <f>EDATE(EM12,$B$8)</f>
        <v/>
      </c>
      <c r="EO12" s="77">
        <f>EDATE(EN12,$B$8)</f>
        <v/>
      </c>
      <c r="EP12" s="77">
        <f>EDATE(EO12,$B$8)</f>
        <v/>
      </c>
      <c r="EQ12" s="77">
        <f>EDATE(EP12,$B$8)</f>
        <v/>
      </c>
      <c r="ER12" s="77">
        <f>EDATE(EQ12,$B$8)</f>
        <v/>
      </c>
      <c r="ES12" s="77">
        <f>EDATE(ER12,$B$8)</f>
        <v/>
      </c>
      <c r="ET12" s="77">
        <f>EDATE(ES12,$B$8)</f>
        <v/>
      </c>
      <c r="EU12" s="77">
        <f>EDATE(ET12,$B$8)</f>
        <v/>
      </c>
      <c r="EV12" s="77">
        <f>EDATE(EU12,$B$8)</f>
        <v/>
      </c>
      <c r="EW12" s="77">
        <f>EDATE(EV12,$B$8)</f>
        <v/>
      </c>
      <c r="EX12" s="77">
        <f>EDATE(EW12,$B$8)</f>
        <v/>
      </c>
      <c r="EY12" s="77">
        <f>EDATE(EX12,$B$8)</f>
        <v/>
      </c>
      <c r="EZ12" s="77">
        <f>EDATE(EY12,$B$8)</f>
        <v/>
      </c>
      <c r="FA12" s="77">
        <f>EDATE(EZ12,$B$8)</f>
        <v/>
      </c>
      <c r="FB12" s="77">
        <f>EDATE(FA12,$B$8)</f>
        <v/>
      </c>
      <c r="FC12" s="77">
        <f>EDATE(FB12,$B$8)</f>
        <v/>
      </c>
      <c r="FD12" s="77">
        <f>EDATE(FC12,$B$8)</f>
        <v/>
      </c>
      <c r="FE12" s="77">
        <f>EDATE(FD12,$B$8)</f>
        <v/>
      </c>
      <c r="FF12" s="77">
        <f>EDATE(FE12,$B$8)</f>
        <v/>
      </c>
      <c r="FG12" s="77">
        <f>EDATE(FF12,$B$8)</f>
        <v/>
      </c>
      <c r="FH12" s="77">
        <f>EDATE(FG12,$B$8)</f>
        <v/>
      </c>
      <c r="FI12" s="77">
        <f>EDATE(FH12,$B$8)</f>
        <v/>
      </c>
      <c r="FJ12" s="77">
        <f>EDATE(FI12,$B$8)</f>
        <v/>
      </c>
      <c r="FK12" s="77">
        <f>EDATE(FJ12,$B$8)</f>
        <v/>
      </c>
      <c r="FL12" s="77">
        <f>EDATE(FK12,$B$8)</f>
        <v/>
      </c>
      <c r="FM12" s="77">
        <f>EDATE(FL12,$B$8)</f>
        <v/>
      </c>
      <c r="FN12" s="77">
        <f>EDATE(FM12,$B$8)</f>
        <v/>
      </c>
      <c r="FO12" s="77">
        <f>EDATE(FN12,$B$8)</f>
        <v/>
      </c>
      <c r="FP12" s="77">
        <f>EDATE(FO12,$B$8)</f>
        <v/>
      </c>
      <c r="FQ12" s="77">
        <f>EDATE(FP12,$B$8)</f>
        <v/>
      </c>
      <c r="FR12" s="77">
        <f>EDATE(FQ12,$B$8)</f>
        <v/>
      </c>
      <c r="FS12" s="77">
        <f>EDATE(FR12,$B$8)</f>
        <v/>
      </c>
      <c r="FT12" s="77">
        <f>EDATE(FS12,$B$8)</f>
        <v/>
      </c>
      <c r="FU12" s="77">
        <f>EDATE(FT12,$B$8)</f>
        <v/>
      </c>
      <c r="FV12" s="77">
        <f>EDATE(FU12,$B$8)</f>
        <v/>
      </c>
      <c r="FW12" s="77">
        <f>EDATE(FV12,$B$8)</f>
        <v/>
      </c>
      <c r="FX12" s="77">
        <f>EDATE(FW12,$B$8)</f>
        <v/>
      </c>
      <c r="FY12" s="77">
        <f>EDATE(FX12,$B$8)</f>
        <v/>
      </c>
      <c r="FZ12" s="77">
        <f>EDATE(FY12,$B$8)</f>
        <v/>
      </c>
      <c r="GA12" s="77">
        <f>EDATE(FZ12,$B$8)</f>
        <v/>
      </c>
      <c r="GB12" s="77">
        <f>EDATE(GA12,$B$8)</f>
        <v/>
      </c>
      <c r="GC12" s="77">
        <f>EDATE(GB12,$B$8)</f>
        <v/>
      </c>
      <c r="GD12" s="77">
        <f>EDATE(GC12,$B$8)</f>
        <v/>
      </c>
      <c r="GE12" s="77">
        <f>EDATE(GD12,$B$8)</f>
        <v/>
      </c>
      <c r="GF12" s="77">
        <f>EDATE(GE12,$B$8)</f>
        <v/>
      </c>
      <c r="GG12" s="77">
        <f>EDATE(GF12,$B$8)</f>
        <v/>
      </c>
      <c r="GH12" s="77">
        <f>EDATE(GG12,$B$8)</f>
        <v/>
      </c>
      <c r="GI12" s="77">
        <f>EDATE(GH12,$B$8)</f>
        <v/>
      </c>
      <c r="GJ12" s="77">
        <f>EDATE(GI12,$B$8)</f>
        <v/>
      </c>
      <c r="GK12" s="77">
        <f>EDATE(GJ12,$B$8)</f>
        <v/>
      </c>
      <c r="GL12" s="77">
        <f>EDATE(GK12,$B$8)</f>
        <v/>
      </c>
      <c r="GM12" s="77">
        <f>EDATE(GL12,$B$8)</f>
        <v/>
      </c>
      <c r="GN12" s="77">
        <f>EDATE(GM12,$B$8)</f>
        <v/>
      </c>
      <c r="GO12" s="77">
        <f>EDATE(GN12,$B$8)</f>
        <v/>
      </c>
      <c r="GP12" s="77">
        <f>EDATE(GO12,$B$8)</f>
        <v/>
      </c>
      <c r="GQ12" s="77">
        <f>EDATE(GP12,$B$8)</f>
        <v/>
      </c>
      <c r="GR12" s="77">
        <f>EDATE(GQ12,$B$8)</f>
        <v/>
      </c>
      <c r="GS12" s="77">
        <f>EDATE(GR12,$B$8)</f>
        <v/>
      </c>
      <c r="GT12" s="77">
        <f>EDATE(GS12,$B$8)</f>
        <v/>
      </c>
      <c r="GU12" s="77">
        <f>EDATE(GT12,$B$8)</f>
        <v/>
      </c>
      <c r="GV12" s="77">
        <f>EDATE(GU12,$B$8)</f>
        <v/>
      </c>
      <c r="GW12" s="77">
        <f>EDATE(GV12,$B$8)</f>
        <v/>
      </c>
      <c r="GX12" s="77">
        <f>EDATE(GW12,$B$8)</f>
        <v/>
      </c>
      <c r="GY12" s="77">
        <f>EDATE(GX12,$B$8)</f>
        <v/>
      </c>
      <c r="GZ12" s="77">
        <f>EDATE(GY12,$B$8)</f>
        <v/>
      </c>
      <c r="HA12" s="77">
        <f>EDATE(GZ12,$B$8)</f>
        <v/>
      </c>
      <c r="HB12" s="77">
        <f>EDATE(HA12,$B$8)</f>
        <v/>
      </c>
      <c r="HC12" s="77">
        <f>EDATE(HB12,$B$8)</f>
        <v/>
      </c>
    </row>
    <row r="13">
      <c r="A13" s="59" t="inlineStr">
        <is>
          <t>Periods</t>
        </is>
      </c>
      <c r="B13" s="66">
        <f>ROUNDUP(B12/$B$8,0)</f>
        <v/>
      </c>
      <c r="C13" s="66">
        <f>ROUNDUP(C12/$B$8,0)</f>
        <v/>
      </c>
      <c r="D13" s="66">
        <f>ROUNDUP(D12/$B$8,0)</f>
        <v/>
      </c>
      <c r="E13" s="66">
        <f>ROUNDUP(E12/$B$8,0)</f>
        <v/>
      </c>
      <c r="F13" s="66">
        <f>ROUNDUP(F12/$B$8,0)</f>
        <v/>
      </c>
      <c r="G13" s="66">
        <f>ROUNDUP(G12/$B$8,0)</f>
        <v/>
      </c>
      <c r="H13" s="66">
        <f>ROUNDUP(H12/$B$8,0)</f>
        <v/>
      </c>
      <c r="I13" s="66">
        <f>IFERROR(MATCH(TRUE,MAP(SEQUENCE(200,1),LAMBDA(k,IFERROR(XIRR(VSTACK(-$I$16,OFFSET($L$13,0,0,1,k)),VSTACK($B$5,OFFSET($L$12,0,0,1,k))),-1)))&gt;=$B$4,0),"")</f>
        <v/>
      </c>
      <c r="K13" s="67" t="inlineStr">
        <is>
          <t>Est. Payment</t>
        </is>
      </c>
      <c r="L13" s="80" t="n"/>
      <c r="M13" s="78" t="n"/>
      <c r="N13" s="78" t="n"/>
      <c r="O13" s="78" t="n"/>
      <c r="P13" s="78" t="n"/>
      <c r="Q13" s="78" t="n"/>
      <c r="R13" s="78" t="n"/>
      <c r="S13" s="78" t="n"/>
      <c r="T13" s="78" t="n"/>
      <c r="U13" s="78" t="n"/>
      <c r="V13" s="78" t="n"/>
      <c r="W13" s="78" t="n"/>
      <c r="X13" s="78" t="n"/>
      <c r="Y13" s="78" t="n"/>
      <c r="Z13" s="78" t="n"/>
      <c r="AA13" s="78" t="n"/>
      <c r="AB13" s="78" t="n"/>
      <c r="AC13" s="78" t="n"/>
      <c r="AD13" s="78" t="n"/>
      <c r="AE13" s="78" t="n"/>
      <c r="AF13" s="78" t="n"/>
      <c r="AG13" s="78" t="n"/>
      <c r="AH13" s="78" t="n"/>
      <c r="AI13" s="78" t="n"/>
      <c r="AJ13" s="78" t="n"/>
      <c r="AK13" s="78" t="n"/>
      <c r="AL13" s="78" t="n"/>
      <c r="AM13" s="78" t="n"/>
      <c r="AN13" s="78" t="n"/>
      <c r="AO13" s="78" t="n"/>
      <c r="AP13" s="78" t="n"/>
      <c r="AQ13" s="78" t="n"/>
      <c r="AR13" s="78" t="n"/>
      <c r="AS13" s="78" t="n"/>
      <c r="AT13" s="78" t="n"/>
      <c r="AU13" s="78" t="n"/>
      <c r="AV13" s="78" t="n"/>
      <c r="AW13" s="78" t="n"/>
      <c r="AX13" s="78" t="n"/>
      <c r="AY13" s="78" t="n"/>
      <c r="AZ13" s="78" t="n"/>
      <c r="BA13" s="78" t="n"/>
      <c r="BB13" s="78" t="n"/>
      <c r="BC13" s="78" t="n"/>
      <c r="BD13" s="78" t="n"/>
      <c r="BE13" s="78" t="n"/>
      <c r="BF13" s="78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78" t="n"/>
      <c r="BU13" s="78" t="n"/>
      <c r="BV13" s="78" t="n"/>
      <c r="BW13" s="78" t="n"/>
      <c r="BX13" s="78" t="n"/>
      <c r="BY13" s="78" t="n"/>
      <c r="BZ13" s="78" t="n"/>
      <c r="CA13" s="78" t="n"/>
      <c r="CB13" s="78" t="n"/>
      <c r="CC13" s="78" t="n"/>
      <c r="CD13" s="78" t="n"/>
      <c r="CE13" s="78" t="n"/>
      <c r="CF13" s="78" t="n"/>
      <c r="CG13" s="78" t="n"/>
      <c r="CH13" s="78" t="n"/>
      <c r="CI13" s="78" t="n"/>
      <c r="CJ13" s="78" t="n"/>
      <c r="CK13" s="78" t="n"/>
      <c r="CL13" s="78" t="n"/>
      <c r="CM13" s="78" t="n"/>
      <c r="CN13" s="78" t="n"/>
      <c r="CO13" s="78" t="n"/>
      <c r="CP13" s="78" t="n"/>
      <c r="CQ13" s="78" t="n"/>
      <c r="CR13" s="78" t="n"/>
      <c r="CS13" s="78" t="n"/>
      <c r="CT13" s="78" t="n"/>
      <c r="CU13" s="78" t="n"/>
      <c r="CV13" s="78" t="n"/>
      <c r="CW13" s="78" t="n"/>
      <c r="CX13" s="78" t="n"/>
      <c r="CY13" s="78" t="n"/>
      <c r="CZ13" s="78" t="n"/>
      <c r="DA13" s="78" t="n"/>
      <c r="DB13" s="78" t="n"/>
      <c r="DC13" s="78" t="n"/>
      <c r="DD13" s="78" t="n"/>
      <c r="DE13" s="78" t="n"/>
      <c r="DF13" s="78" t="n"/>
      <c r="DG13" s="78" t="n"/>
      <c r="DH13" s="78" t="n"/>
      <c r="DI13" s="78" t="n"/>
      <c r="DJ13" s="78" t="n"/>
      <c r="DK13" s="78" t="n"/>
      <c r="DL13" s="78" t="n"/>
      <c r="DM13" s="78" t="n"/>
      <c r="DN13" s="78" t="n"/>
      <c r="DO13" s="78" t="n"/>
      <c r="DP13" s="78" t="n"/>
      <c r="DQ13" s="78" t="n"/>
      <c r="DR13" s="78" t="n"/>
      <c r="DS13" s="78" t="n"/>
      <c r="DT13" s="78" t="n"/>
      <c r="DU13" s="78" t="n"/>
      <c r="DV13" s="78" t="n"/>
      <c r="DW13" s="78" t="n"/>
      <c r="DX13" s="78" t="n"/>
      <c r="DY13" s="78" t="n"/>
      <c r="DZ13" s="78" t="n"/>
      <c r="EA13" s="78" t="n"/>
      <c r="EB13" s="78" t="n"/>
      <c r="EC13" s="78" t="n"/>
      <c r="ED13" s="78" t="n"/>
      <c r="EE13" s="78" t="n"/>
      <c r="EF13" s="78" t="n"/>
      <c r="EG13" s="78" t="n"/>
      <c r="EH13" s="78" t="n"/>
      <c r="EI13" s="78" t="n"/>
      <c r="EJ13" s="78" t="n"/>
      <c r="EK13" s="78" t="n"/>
      <c r="EL13" s="78" t="n"/>
      <c r="EM13" s="78" t="n"/>
      <c r="EN13" s="78" t="n"/>
      <c r="EO13" s="78" t="n"/>
      <c r="EP13" s="78" t="n"/>
      <c r="EQ13" s="78" t="n"/>
      <c r="ER13" s="78" t="n"/>
      <c r="ES13" s="78" t="n"/>
      <c r="ET13" s="78" t="n"/>
      <c r="EU13" s="78" t="n"/>
      <c r="EV13" s="78" t="n"/>
      <c r="EW13" s="78" t="n"/>
      <c r="EX13" s="78" t="n"/>
      <c r="EY13" s="78" t="n"/>
      <c r="EZ13" s="78" t="n"/>
      <c r="FA13" s="78" t="n"/>
      <c r="FB13" s="78" t="n"/>
      <c r="FC13" s="78" t="n"/>
      <c r="FD13" s="78" t="n"/>
      <c r="FE13" s="78" t="n"/>
      <c r="FF13" s="78" t="n"/>
      <c r="FG13" s="78" t="n"/>
      <c r="FH13" s="78" t="n"/>
      <c r="FI13" s="78" t="n"/>
      <c r="FJ13" s="78" t="n"/>
      <c r="FK13" s="78" t="n"/>
      <c r="FL13" s="78" t="n"/>
      <c r="FM13" s="78" t="n"/>
      <c r="FN13" s="78" t="n"/>
      <c r="FO13" s="78" t="n"/>
      <c r="FP13" s="78" t="n"/>
      <c r="FQ13" s="78" t="n"/>
      <c r="FR13" s="78" t="n"/>
      <c r="FS13" s="78" t="n"/>
      <c r="FT13" s="78" t="n"/>
      <c r="FU13" s="78" t="n"/>
      <c r="FV13" s="78" t="n"/>
      <c r="FW13" s="78" t="n"/>
      <c r="FX13" s="78" t="n"/>
      <c r="FY13" s="78" t="n"/>
      <c r="FZ13" s="78" t="n"/>
      <c r="GA13" s="78" t="n"/>
      <c r="GB13" s="78" t="n"/>
      <c r="GC13" s="78" t="n"/>
      <c r="GD13" s="78" t="n"/>
      <c r="GE13" s="78" t="n"/>
      <c r="GF13" s="78" t="n"/>
      <c r="GG13" s="78" t="n"/>
      <c r="GH13" s="78" t="n"/>
      <c r="GI13" s="78" t="n"/>
      <c r="GJ13" s="78" t="n"/>
      <c r="GK13" s="78" t="n"/>
      <c r="GL13" s="78" t="n"/>
      <c r="GM13" s="78" t="n"/>
      <c r="GN13" s="78" t="n"/>
      <c r="GO13" s="78" t="n"/>
      <c r="GP13" s="78" t="n"/>
      <c r="GQ13" s="78" t="n"/>
      <c r="GR13" s="78" t="n"/>
      <c r="GS13" s="78" t="n"/>
      <c r="GT13" s="78" t="n"/>
      <c r="GU13" s="78" t="n"/>
      <c r="GV13" s="78" t="n"/>
      <c r="GW13" s="78" t="n"/>
      <c r="GX13" s="78" t="n"/>
      <c r="GY13" s="78" t="n"/>
      <c r="GZ13" s="78" t="n"/>
      <c r="HA13" s="78" t="n"/>
      <c r="HB13" s="78" t="n"/>
      <c r="HC13" s="78" t="n"/>
    </row>
    <row r="14">
      <c r="A14" s="70" t="inlineStr">
        <is>
          <t>Advance</t>
        </is>
      </c>
      <c r="B14" s="71">
        <f>LET(r,$B$4,n,B13,inflows,OFFSET($L$13,0,0,1,n),dts,OFFSET($L$12,0,0,1,n),pv,XNPV(r,VSTACK(0,TRANSPOSE(inflows)),VSTACK($B$5,TRANSPOSE(dts))),MAX(0,(pv-$B$2)/(1+$B$3)))</f>
        <v/>
      </c>
      <c r="C14" s="71">
        <f>LET(r,$B$4,n,C13,inflows,OFFSET($L$13,0,0,1,n),dts,OFFSET($L$12,0,0,1,n),pv,XNPV(r,VSTACK(0,TRANSPOSE(inflows)),VSTACK($B$5,TRANSPOSE(dts))),MAX(0,(pv-$B$2)/(1+$B$3)))</f>
        <v/>
      </c>
      <c r="D14" s="71">
        <f>LET(r,$B$4,n,D13,inflows,OFFSET($L$13,0,0,1,n),dts,OFFSET($L$12,0,0,1,n),pv,XNPV(r,VSTACK(0,TRANSPOSE(inflows)),VSTACK($B$5,TRANSPOSE(dts))),MAX(0,(pv-$B$2)/(1+$B$3)))</f>
        <v/>
      </c>
      <c r="E14" s="71">
        <f>LET(r,$B$4,n,E13,inflows,OFFSET($L$13,0,0,1,n),dts,OFFSET($L$12,0,0,1,n),pv,XNPV(r,VSTACK(0,TRANSPOSE(inflows)),VSTACK($B$5,TRANSPOSE(dts))),MAX(0,(pv-$B$2)/(1+$B$3)))</f>
        <v/>
      </c>
      <c r="F14" s="71">
        <f>LET(r,$B$4,n,F13,inflows,OFFSET($L$13,0,0,1,n),dts,OFFSET($L$12,0,0,1,n),pv,XNPV(r,VSTACK(0,TRANSPOSE(inflows)),VSTACK($B$5,TRANSPOSE(dts))),MAX(0,(pv-$B$2)/(1+$B$3)))</f>
        <v/>
      </c>
      <c r="G14" s="71">
        <f>LET(r,$B$4,n,G13,inflows,OFFSET($L$13,0,0,1,n),dts,OFFSET($L$12,0,0,1,n),pv,XNPV(r,VSTACK(0,TRANSPOSE(inflows)),VSTACK($B$5,TRANSPOSE(dts))),MAX(0,(pv-$B$2)/(1+$B$3)))</f>
        <v/>
      </c>
      <c r="H14" s="71">
        <f>LET(r,$B$4,n,H13,inflows,OFFSET($L$13,0,0,1,n),dts,OFFSET($L$12,0,0,1,n),pv,XNPV(r,VSTACK(0,TRANSPOSE(inflows)),VSTACK($B$5,TRANSPOSE(dts))),MAX(0,(pv-$B$2)/(1+$B$3)))</f>
        <v/>
      </c>
      <c r="I14" s="71">
        <f>$B$9</f>
        <v/>
      </c>
      <c r="K14" s="67" t="inlineStr">
        <is>
          <t>Cumulative</t>
        </is>
      </c>
      <c r="L14" s="80">
        <f>L13</f>
        <v/>
      </c>
      <c r="M14" s="78">
        <f>L14+M13</f>
        <v/>
      </c>
      <c r="N14" s="78">
        <f>M14+N13</f>
        <v/>
      </c>
      <c r="O14" s="78">
        <f>N14+O13</f>
        <v/>
      </c>
      <c r="P14" s="78">
        <f>O14+P13</f>
        <v/>
      </c>
      <c r="Q14" s="78">
        <f>P14+Q13</f>
        <v/>
      </c>
      <c r="R14" s="78">
        <f>Q14+R13</f>
        <v/>
      </c>
      <c r="S14" s="78">
        <f>R14+S13</f>
        <v/>
      </c>
      <c r="T14" s="78">
        <f>S14+T13</f>
        <v/>
      </c>
      <c r="U14" s="78">
        <f>T14+U13</f>
        <v/>
      </c>
      <c r="V14" s="78">
        <f>U14+V13</f>
        <v/>
      </c>
      <c r="W14" s="78">
        <f>V14+W13</f>
        <v/>
      </c>
      <c r="X14" s="78">
        <f>W14+X13</f>
        <v/>
      </c>
      <c r="Y14" s="78">
        <f>X14+Y13</f>
        <v/>
      </c>
      <c r="Z14" s="78">
        <f>Y14+Z13</f>
        <v/>
      </c>
      <c r="AA14" s="78">
        <f>Z14+AA13</f>
        <v/>
      </c>
      <c r="AB14" s="78">
        <f>AA14+AB13</f>
        <v/>
      </c>
      <c r="AC14" s="78">
        <f>AB14+AC13</f>
        <v/>
      </c>
      <c r="AD14" s="78">
        <f>AC14+AD13</f>
        <v/>
      </c>
      <c r="AE14" s="78">
        <f>AD14+AE13</f>
        <v/>
      </c>
      <c r="AF14" s="78">
        <f>AE14+AF13</f>
        <v/>
      </c>
      <c r="AG14" s="78">
        <f>AF14+AG13</f>
        <v/>
      </c>
      <c r="AH14" s="78">
        <f>AG14+AH13</f>
        <v/>
      </c>
      <c r="AI14" s="78">
        <f>AH14+AI13</f>
        <v/>
      </c>
      <c r="AJ14" s="78">
        <f>AI14+AJ13</f>
        <v/>
      </c>
      <c r="AK14" s="78">
        <f>AJ14+AK13</f>
        <v/>
      </c>
      <c r="AL14" s="78">
        <f>AK14+AL13</f>
        <v/>
      </c>
      <c r="AM14" s="78">
        <f>AL14+AM13</f>
        <v/>
      </c>
      <c r="AN14" s="78">
        <f>AM14+AN13</f>
        <v/>
      </c>
      <c r="AO14" s="78">
        <f>AN14+AO13</f>
        <v/>
      </c>
      <c r="AP14" s="78">
        <f>AO14+AP13</f>
        <v/>
      </c>
      <c r="AQ14" s="78">
        <f>AP14+AQ13</f>
        <v/>
      </c>
      <c r="AR14" s="78">
        <f>AQ14+AR13</f>
        <v/>
      </c>
      <c r="AS14" s="78">
        <f>AR14+AS13</f>
        <v/>
      </c>
      <c r="AT14" s="78">
        <f>AS14+AT13</f>
        <v/>
      </c>
      <c r="AU14" s="78">
        <f>AT14+AU13</f>
        <v/>
      </c>
      <c r="AV14" s="78">
        <f>AU14+AV13</f>
        <v/>
      </c>
      <c r="AW14" s="78">
        <f>AV14+AW13</f>
        <v/>
      </c>
      <c r="AX14" s="78">
        <f>AW14+AX13</f>
        <v/>
      </c>
      <c r="AY14" s="78">
        <f>AX14+AY13</f>
        <v/>
      </c>
      <c r="AZ14" s="78">
        <f>AY14+AZ13</f>
        <v/>
      </c>
      <c r="BA14" s="78">
        <f>AZ14+BA13</f>
        <v/>
      </c>
      <c r="BB14" s="78">
        <f>BA14+BB13</f>
        <v/>
      </c>
      <c r="BC14" s="78">
        <f>BB14+BC13</f>
        <v/>
      </c>
      <c r="BD14" s="78">
        <f>BC14+BD13</f>
        <v/>
      </c>
      <c r="BE14" s="78">
        <f>BD14+BE13</f>
        <v/>
      </c>
      <c r="BF14" s="78">
        <f>BE14+BF13</f>
        <v/>
      </c>
      <c r="BG14" s="78">
        <f>BF14+BG13</f>
        <v/>
      </c>
      <c r="BH14" s="78">
        <f>BG14+BH13</f>
        <v/>
      </c>
      <c r="BI14" s="78">
        <f>BH14+BI13</f>
        <v/>
      </c>
      <c r="BJ14" s="78">
        <f>BI14+BJ13</f>
        <v/>
      </c>
      <c r="BK14" s="78">
        <f>BJ14+BK13</f>
        <v/>
      </c>
      <c r="BL14" s="78">
        <f>BK14+BL13</f>
        <v/>
      </c>
      <c r="BM14" s="78">
        <f>BL14+BM13</f>
        <v/>
      </c>
      <c r="BN14" s="78">
        <f>BM14+BN13</f>
        <v/>
      </c>
      <c r="BO14" s="78">
        <f>BN14+BO13</f>
        <v/>
      </c>
      <c r="BP14" s="78">
        <f>BO14+BP13</f>
        <v/>
      </c>
      <c r="BQ14" s="78">
        <f>BP14+BQ13</f>
        <v/>
      </c>
      <c r="BR14" s="78">
        <f>BQ14+BR13</f>
        <v/>
      </c>
      <c r="BS14" s="78">
        <f>BR14+BS13</f>
        <v/>
      </c>
      <c r="BT14" s="78">
        <f>BS14+BT13</f>
        <v/>
      </c>
      <c r="BU14" s="78">
        <f>BT14+BU13</f>
        <v/>
      </c>
      <c r="BV14" s="78">
        <f>BU14+BV13</f>
        <v/>
      </c>
      <c r="BW14" s="78">
        <f>BV14+BW13</f>
        <v/>
      </c>
      <c r="BX14" s="78">
        <f>BW14+BX13</f>
        <v/>
      </c>
      <c r="BY14" s="78">
        <f>BX14+BY13</f>
        <v/>
      </c>
      <c r="BZ14" s="78">
        <f>BY14+BZ13</f>
        <v/>
      </c>
      <c r="CA14" s="78">
        <f>BZ14+CA13</f>
        <v/>
      </c>
      <c r="CB14" s="78">
        <f>CA14+CB13</f>
        <v/>
      </c>
      <c r="CC14" s="78">
        <f>CB14+CC13</f>
        <v/>
      </c>
      <c r="CD14" s="78">
        <f>CC14+CD13</f>
        <v/>
      </c>
      <c r="CE14" s="78">
        <f>CD14+CE13</f>
        <v/>
      </c>
      <c r="CF14" s="78">
        <f>CE14+CF13</f>
        <v/>
      </c>
      <c r="CG14" s="78">
        <f>CF14+CG13</f>
        <v/>
      </c>
      <c r="CH14" s="78">
        <f>CG14+CH13</f>
        <v/>
      </c>
      <c r="CI14" s="78">
        <f>CH14+CI13</f>
        <v/>
      </c>
      <c r="CJ14" s="78">
        <f>CI14+CJ13</f>
        <v/>
      </c>
      <c r="CK14" s="78">
        <f>CJ14+CK13</f>
        <v/>
      </c>
      <c r="CL14" s="78">
        <f>CK14+CL13</f>
        <v/>
      </c>
      <c r="CM14" s="78">
        <f>CL14+CM13</f>
        <v/>
      </c>
      <c r="CN14" s="78">
        <f>CM14+CN13</f>
        <v/>
      </c>
      <c r="CO14" s="78">
        <f>CN14+CO13</f>
        <v/>
      </c>
      <c r="CP14" s="78">
        <f>CO14+CP13</f>
        <v/>
      </c>
      <c r="CQ14" s="78">
        <f>CP14+CQ13</f>
        <v/>
      </c>
      <c r="CR14" s="78">
        <f>CQ14+CR13</f>
        <v/>
      </c>
      <c r="CS14" s="78">
        <f>CR14+CS13</f>
        <v/>
      </c>
      <c r="CT14" s="78">
        <f>CS14+CT13</f>
        <v/>
      </c>
      <c r="CU14" s="78">
        <f>CT14+CU13</f>
        <v/>
      </c>
      <c r="CV14" s="78">
        <f>CU14+CV13</f>
        <v/>
      </c>
      <c r="CW14" s="78">
        <f>CV14+CW13</f>
        <v/>
      </c>
      <c r="CX14" s="78">
        <f>CW14+CX13</f>
        <v/>
      </c>
      <c r="CY14" s="78">
        <f>CX14+CY13</f>
        <v/>
      </c>
      <c r="CZ14" s="78">
        <f>CY14+CZ13</f>
        <v/>
      </c>
      <c r="DA14" s="78">
        <f>CZ14+DA13</f>
        <v/>
      </c>
      <c r="DB14" s="78">
        <f>DA14+DB13</f>
        <v/>
      </c>
      <c r="DC14" s="78">
        <f>DB14+DC13</f>
        <v/>
      </c>
      <c r="DD14" s="78">
        <f>DC14+DD13</f>
        <v/>
      </c>
      <c r="DE14" s="78">
        <f>DD14+DE13</f>
        <v/>
      </c>
      <c r="DF14" s="78">
        <f>DE14+DF13</f>
        <v/>
      </c>
      <c r="DG14" s="78">
        <f>DF14+DG13</f>
        <v/>
      </c>
      <c r="DH14" s="78">
        <f>DG14+DH13</f>
        <v/>
      </c>
      <c r="DI14" s="78">
        <f>DH14+DI13</f>
        <v/>
      </c>
      <c r="DJ14" s="78">
        <f>DI14+DJ13</f>
        <v/>
      </c>
      <c r="DK14" s="78">
        <f>DJ14+DK13</f>
        <v/>
      </c>
      <c r="DL14" s="78">
        <f>DK14+DL13</f>
        <v/>
      </c>
      <c r="DM14" s="78">
        <f>DL14+DM13</f>
        <v/>
      </c>
      <c r="DN14" s="78">
        <f>DM14+DN13</f>
        <v/>
      </c>
      <c r="DO14" s="78">
        <f>DN14+DO13</f>
        <v/>
      </c>
      <c r="DP14" s="78">
        <f>DO14+DP13</f>
        <v/>
      </c>
      <c r="DQ14" s="78">
        <f>DP14+DQ13</f>
        <v/>
      </c>
      <c r="DR14" s="78">
        <f>DQ14+DR13</f>
        <v/>
      </c>
      <c r="DS14" s="78">
        <f>DR14+DS13</f>
        <v/>
      </c>
      <c r="DT14" s="78">
        <f>DS14+DT13</f>
        <v/>
      </c>
      <c r="DU14" s="78">
        <f>DT14+DU13</f>
        <v/>
      </c>
      <c r="DV14" s="78">
        <f>DU14+DV13</f>
        <v/>
      </c>
      <c r="DW14" s="78">
        <f>DV14+DW13</f>
        <v/>
      </c>
      <c r="DX14" s="78">
        <f>DW14+DX13</f>
        <v/>
      </c>
      <c r="DY14" s="78">
        <f>DX14+DY13</f>
        <v/>
      </c>
      <c r="DZ14" s="78">
        <f>DY14+DZ13</f>
        <v/>
      </c>
      <c r="EA14" s="78">
        <f>DZ14+EA13</f>
        <v/>
      </c>
      <c r="EB14" s="78">
        <f>EA14+EB13</f>
        <v/>
      </c>
      <c r="EC14" s="78">
        <f>EB14+EC13</f>
        <v/>
      </c>
      <c r="ED14" s="78">
        <f>EC14+ED13</f>
        <v/>
      </c>
      <c r="EE14" s="78">
        <f>ED14+EE13</f>
        <v/>
      </c>
      <c r="EF14" s="78">
        <f>EE14+EF13</f>
        <v/>
      </c>
      <c r="EG14" s="78">
        <f>EF14+EG13</f>
        <v/>
      </c>
      <c r="EH14" s="78">
        <f>EG14+EH13</f>
        <v/>
      </c>
      <c r="EI14" s="78">
        <f>EH14+EI13</f>
        <v/>
      </c>
      <c r="EJ14" s="78">
        <f>EI14+EJ13</f>
        <v/>
      </c>
      <c r="EK14" s="78">
        <f>EJ14+EK13</f>
        <v/>
      </c>
      <c r="EL14" s="78">
        <f>EK14+EL13</f>
        <v/>
      </c>
      <c r="EM14" s="78">
        <f>EL14+EM13</f>
        <v/>
      </c>
      <c r="EN14" s="78">
        <f>EM14+EN13</f>
        <v/>
      </c>
      <c r="EO14" s="78">
        <f>EN14+EO13</f>
        <v/>
      </c>
      <c r="EP14" s="78">
        <f>EO14+EP13</f>
        <v/>
      </c>
      <c r="EQ14" s="78">
        <f>EP14+EQ13</f>
        <v/>
      </c>
      <c r="ER14" s="78">
        <f>EQ14+ER13</f>
        <v/>
      </c>
      <c r="ES14" s="78">
        <f>ER14+ES13</f>
        <v/>
      </c>
      <c r="ET14" s="78">
        <f>ES14+ET13</f>
        <v/>
      </c>
      <c r="EU14" s="78">
        <f>ET14+EU13</f>
        <v/>
      </c>
      <c r="EV14" s="78">
        <f>EU14+EV13</f>
        <v/>
      </c>
      <c r="EW14" s="78">
        <f>EV14+EW13</f>
        <v/>
      </c>
      <c r="EX14" s="78">
        <f>EW14+EX13</f>
        <v/>
      </c>
      <c r="EY14" s="78">
        <f>EX14+EY13</f>
        <v/>
      </c>
      <c r="EZ14" s="78">
        <f>EY14+EZ13</f>
        <v/>
      </c>
      <c r="FA14" s="78">
        <f>EZ14+FA13</f>
        <v/>
      </c>
      <c r="FB14" s="78">
        <f>FA14+FB13</f>
        <v/>
      </c>
      <c r="FC14" s="78">
        <f>FB14+FC13</f>
        <v/>
      </c>
      <c r="FD14" s="78">
        <f>FC14+FD13</f>
        <v/>
      </c>
      <c r="FE14" s="78">
        <f>FD14+FE13</f>
        <v/>
      </c>
      <c r="FF14" s="78">
        <f>FE14+FF13</f>
        <v/>
      </c>
      <c r="FG14" s="78">
        <f>FF14+FG13</f>
        <v/>
      </c>
      <c r="FH14" s="78">
        <f>FG14+FH13</f>
        <v/>
      </c>
      <c r="FI14" s="78">
        <f>FH14+FI13</f>
        <v/>
      </c>
      <c r="FJ14" s="78">
        <f>FI14+FJ13</f>
        <v/>
      </c>
      <c r="FK14" s="78">
        <f>FJ14+FK13</f>
        <v/>
      </c>
      <c r="FL14" s="78">
        <f>FK14+FL13</f>
        <v/>
      </c>
      <c r="FM14" s="78">
        <f>FL14+FM13</f>
        <v/>
      </c>
      <c r="FN14" s="78">
        <f>FM14+FN13</f>
        <v/>
      </c>
      <c r="FO14" s="78">
        <f>FN14+FO13</f>
        <v/>
      </c>
      <c r="FP14" s="78">
        <f>FO14+FP13</f>
        <v/>
      </c>
      <c r="FQ14" s="78">
        <f>FP14+FQ13</f>
        <v/>
      </c>
      <c r="FR14" s="78">
        <f>FQ14+FR13</f>
        <v/>
      </c>
      <c r="FS14" s="78">
        <f>FR14+FS13</f>
        <v/>
      </c>
      <c r="FT14" s="78">
        <f>FS14+FT13</f>
        <v/>
      </c>
      <c r="FU14" s="78">
        <f>FT14+FU13</f>
        <v/>
      </c>
      <c r="FV14" s="78">
        <f>FU14+FV13</f>
        <v/>
      </c>
      <c r="FW14" s="78">
        <f>FV14+FW13</f>
        <v/>
      </c>
      <c r="FX14" s="78">
        <f>FW14+FX13</f>
        <v/>
      </c>
      <c r="FY14" s="78">
        <f>FX14+FY13</f>
        <v/>
      </c>
      <c r="FZ14" s="78">
        <f>FY14+FZ13</f>
        <v/>
      </c>
      <c r="GA14" s="78">
        <f>FZ14+GA13</f>
        <v/>
      </c>
      <c r="GB14" s="78">
        <f>GA14+GB13</f>
        <v/>
      </c>
      <c r="GC14" s="78">
        <f>GB14+GC13</f>
        <v/>
      </c>
      <c r="GD14" s="78">
        <f>GC14+GD13</f>
        <v/>
      </c>
      <c r="GE14" s="78">
        <f>GD14+GE13</f>
        <v/>
      </c>
      <c r="GF14" s="78">
        <f>GE14+GF13</f>
        <v/>
      </c>
      <c r="GG14" s="78">
        <f>GF14+GG13</f>
        <v/>
      </c>
      <c r="GH14" s="78">
        <f>GG14+GH13</f>
        <v/>
      </c>
      <c r="GI14" s="78">
        <f>GH14+GI13</f>
        <v/>
      </c>
      <c r="GJ14" s="78">
        <f>GI14+GJ13</f>
        <v/>
      </c>
      <c r="GK14" s="78">
        <f>GJ14+GK13</f>
        <v/>
      </c>
      <c r="GL14" s="78">
        <f>GK14+GL13</f>
        <v/>
      </c>
      <c r="GM14" s="78">
        <f>GL14+GM13</f>
        <v/>
      </c>
      <c r="GN14" s="78">
        <f>GM14+GN13</f>
        <v/>
      </c>
      <c r="GO14" s="78">
        <f>GN14+GO13</f>
        <v/>
      </c>
      <c r="GP14" s="78">
        <f>GO14+GP13</f>
        <v/>
      </c>
      <c r="GQ14" s="78">
        <f>GP14+GQ13</f>
        <v/>
      </c>
      <c r="GR14" s="78">
        <f>GQ14+GR13</f>
        <v/>
      </c>
      <c r="GS14" s="78">
        <f>GR14+GS13</f>
        <v/>
      </c>
      <c r="GT14" s="78">
        <f>GS14+GT13</f>
        <v/>
      </c>
      <c r="GU14" s="78">
        <f>GT14+GU13</f>
        <v/>
      </c>
      <c r="GV14" s="78">
        <f>GU14+GV13</f>
        <v/>
      </c>
      <c r="GW14" s="78">
        <f>GV14+GW13</f>
        <v/>
      </c>
      <c r="GX14" s="78">
        <f>GW14+GX13</f>
        <v/>
      </c>
      <c r="GY14" s="78">
        <f>GX14+GY13</f>
        <v/>
      </c>
      <c r="GZ14" s="78">
        <f>GY14+GZ13</f>
        <v/>
      </c>
      <c r="HA14" s="78">
        <f>GZ14+HA13</f>
        <v/>
      </c>
      <c r="HB14" s="78">
        <f>HA14+HB13</f>
        <v/>
      </c>
      <c r="HC14" s="78">
        <f>HB14+HC13</f>
        <v/>
      </c>
    </row>
    <row r="15">
      <c r="A15" s="59" t="inlineStr">
        <is>
          <t>Referral Fee</t>
        </is>
      </c>
      <c r="B15" s="72">
        <f>$B$3*B14</f>
        <v/>
      </c>
      <c r="C15" s="72">
        <f>$B$3*C14</f>
        <v/>
      </c>
      <c r="D15" s="72">
        <f>$B$3*D14</f>
        <v/>
      </c>
      <c r="E15" s="72">
        <f>$B$3*E14</f>
        <v/>
      </c>
      <c r="F15" s="72">
        <f>$B$3*F14</f>
        <v/>
      </c>
      <c r="G15" s="72">
        <f>$B$3*G14</f>
        <v/>
      </c>
      <c r="H15" s="72">
        <f>$B$3*H14</f>
        <v/>
      </c>
      <c r="I15" s="72">
        <f>$B$3*I14</f>
        <v/>
      </c>
    </row>
    <row r="16">
      <c r="A16" s="73" t="inlineStr">
        <is>
          <t>Total Investment</t>
        </is>
      </c>
      <c r="B16" s="74">
        <f>SUM(B14:B15)+$B$2</f>
        <v/>
      </c>
      <c r="C16" s="74">
        <f>SUM(C14:C15)+$B$2</f>
        <v/>
      </c>
      <c r="D16" s="74">
        <f>SUM(D14:D15)+$B$2</f>
        <v/>
      </c>
      <c r="E16" s="74">
        <f>SUM(E14:E15)+$B$2</f>
        <v/>
      </c>
      <c r="F16" s="74">
        <f>SUM(F14:F15)+$B$2</f>
        <v/>
      </c>
      <c r="G16" s="74">
        <f>SUM(G14:G15)+$B$2</f>
        <v/>
      </c>
      <c r="H16" s="74">
        <f>SUM(H14:H15)+$B$2</f>
        <v/>
      </c>
      <c r="I16" s="74">
        <f>SUM(I14:I15)+$B$2</f>
        <v/>
      </c>
    </row>
    <row r="17">
      <c r="A17" s="59" t="inlineStr">
        <is>
          <t>Total Recoupment</t>
        </is>
      </c>
      <c r="B17" s="72">
        <f>IFERROR(OFFSET($L$14,0,B13-1),0)</f>
        <v/>
      </c>
      <c r="C17" s="72">
        <f>IFERROR(OFFSET($L$14,0,C13-1),0)</f>
        <v/>
      </c>
      <c r="D17" s="72">
        <f>IFERROR(OFFSET($L$14,0,D13-1),0)</f>
        <v/>
      </c>
      <c r="E17" s="72">
        <f>IFERROR(OFFSET($L$14,0,E13-1),0)</f>
        <v/>
      </c>
      <c r="F17" s="72">
        <f>IFERROR(OFFSET($L$14,0,F13-1),0)</f>
        <v/>
      </c>
      <c r="G17" s="72">
        <f>IFERROR(OFFSET($L$14,0,G13-1),0)</f>
        <v/>
      </c>
      <c r="H17" s="72">
        <f>IFERROR(OFFSET($L$14,0,H13-1),0)</f>
        <v/>
      </c>
      <c r="I17" s="72">
        <f>IFERROR(OFFSET($L$14,0,I13-1),0)</f>
        <v/>
      </c>
    </row>
    <row r="18">
      <c r="A18" s="59" t="inlineStr">
        <is>
          <t>Advance / Recoup %</t>
        </is>
      </c>
      <c r="B18" s="75">
        <f>IFERROR(B14/B17,"")</f>
        <v/>
      </c>
      <c r="C18" s="75">
        <f>IFERROR(C14/C17,"")</f>
        <v/>
      </c>
      <c r="D18" s="75">
        <f>IFERROR(D14/D17,"")</f>
        <v/>
      </c>
      <c r="E18" s="75">
        <f>IFERROR(E14/E17,"")</f>
        <v/>
      </c>
      <c r="F18" s="75">
        <f>IFERROR(F14/F17,"")</f>
        <v/>
      </c>
      <c r="G18" s="75">
        <f>IFERROR(G14/G17,"")</f>
        <v/>
      </c>
      <c r="H18" s="75">
        <f>IFERROR(H14/H17,"")</f>
        <v/>
      </c>
      <c r="I18" s="75">
        <f>IFERROR(I14/I17,"")</f>
        <v/>
      </c>
    </row>
    <row r="19">
      <c r="A19" s="59" t="inlineStr">
        <is>
          <t>IRR</t>
        </is>
      </c>
      <c r="B19" s="75">
        <f>IFERROR(LET(n,B13,outflow,-B16,inflows,OFFSET($L$13,0,0,1,n),dts,OFFSET($L$12,0,0,1,n),cf,VSTACK(outflow,TRANSPOSE(inflows)),dates,VSTACK($B$5,TRANSPOSE(dts)),XIRR(cf,dates)),"N/A")</f>
        <v/>
      </c>
      <c r="C19" s="75">
        <f>IFERROR(LET(n,C13,outflow,-C16,inflows,OFFSET($L$13,0,0,1,n),dts,OFFSET($L$12,0,0,1,n),cf,VSTACK(outflow,TRANSPOSE(inflows)),dates,VSTACK($B$5,TRANSPOSE(dts)),XIRR(cf,dates)),"N/A")</f>
        <v/>
      </c>
      <c r="D19" s="75">
        <f>IFERROR(LET(n,D13,outflow,-D16,inflows,OFFSET($L$13,0,0,1,n),dts,OFFSET($L$12,0,0,1,n),cf,VSTACK(outflow,TRANSPOSE(inflows)),dates,VSTACK($B$5,TRANSPOSE(dts)),XIRR(cf,dates)),"N/A")</f>
        <v/>
      </c>
      <c r="E19" s="75">
        <f>IFERROR(LET(n,E13,outflow,-E16,inflows,OFFSET($L$13,0,0,1,n),dts,OFFSET($L$12,0,0,1,n),cf,VSTACK(outflow,TRANSPOSE(inflows)),dates,VSTACK($B$5,TRANSPOSE(dts)),XIRR(cf,dates)),"N/A")</f>
        <v/>
      </c>
      <c r="F19" s="75">
        <f>IFERROR(LET(n,F13,outflow,-F16,inflows,OFFSET($L$13,0,0,1,n),dts,OFFSET($L$12,0,0,1,n),cf,VSTACK(outflow,TRANSPOSE(inflows)),dates,VSTACK($B$5,TRANSPOSE(dts)),XIRR(cf,dates)),"N/A")</f>
        <v/>
      </c>
      <c r="G19" s="75">
        <f>IFERROR(LET(n,G13,outflow,-G16,inflows,OFFSET($L$13,0,0,1,n),dts,OFFSET($L$12,0,0,1,n),cf,VSTACK(outflow,TRANSPOSE(inflows)),dates,VSTACK($B$5,TRANSPOSE(dts)),XIRR(cf,dates)),"N/A")</f>
        <v/>
      </c>
      <c r="H19" s="75">
        <f>IFERROR(LET(n,H13,outflow,-H16,inflows,OFFSET($L$13,0,0,1,n),dts,OFFSET($L$12,0,0,1,n),cf,VSTACK(outflow,TRANSPOSE(inflows)),dates,VSTACK($B$5,TRANSPOSE(dts)),XIRR(cf,dates)),"N/A")</f>
        <v/>
      </c>
      <c r="I19" s="75">
        <f>IFERROR(LET(n,I13,outflow,-I16,inflows,OFFSET($L$13,0,0,1,n),dts,OFFSET($L$12,0,0,1,n),cf,VSTACK(outflow,TRANSPOSE(inflows)),dates,VSTACK($B$5,TRANSPOSE(dts)),XIRR(cf,dates)),"N/A")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xSplit="5" ySplit="12" topLeftCell="F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.33203125" customWidth="1" min="1" max="1"/>
    <col width="6.44140625" customWidth="1" min="2" max="2"/>
    <col width="0.6640625" customWidth="1" min="3" max="3"/>
    <col width="18.6640625" customWidth="1" min="4" max="4"/>
    <col width="12.1640625" customWidth="1" min="5" max="5"/>
    <col width="0.83203125" customWidth="1" min="6" max="6"/>
    <col width="16.6640625" customWidth="1" min="7" max="7"/>
    <col width="13.1640625" customWidth="1" min="8" max="8"/>
    <col width="10.1640625" customWidth="1" min="9" max="9"/>
    <col width="9.83203125" customWidth="1" min="10" max="10"/>
    <col width="14.62109375" customWidth="1" min="11" max="11"/>
    <col width="10.07421875" customWidth="1" min="12" max="12"/>
    <col width="10.07421875" customWidth="1" min="13" max="13"/>
    <col width="13" customWidth="1" min="14" max="14"/>
  </cols>
  <sheetData>
    <row r="1" ht="21.75" customHeight="1">
      <c r="A1" s="34" t="n"/>
      <c r="B1" s="35" t="inlineStr">
        <is>
          <t>Cashflow waterfall (12 year)</t>
        </is>
      </c>
      <c r="C1" s="34" t="n"/>
      <c r="D1" s="36" t="n"/>
      <c r="E1" s="34" t="n"/>
      <c r="F1" s="34" t="n"/>
      <c r="J1" s="34" t="n"/>
      <c r="K1" s="34" t="n"/>
      <c r="L1" s="34" t="n"/>
      <c r="M1" s="34" t="n"/>
    </row>
    <row r="2" ht="12.75" customHeight="1">
      <c r="A2" s="34" t="n"/>
      <c r="B2" s="34" t="n"/>
      <c r="C2" s="34" t="n"/>
      <c r="D2" s="34" t="n"/>
      <c r="E2" s="34" t="n"/>
      <c r="F2" s="34" t="n"/>
      <c r="J2" s="34" t="n"/>
      <c r="K2" s="34" t="n"/>
      <c r="L2" s="34" t="n"/>
      <c r="M2" s="34" t="n"/>
    </row>
    <row r="3" ht="15.75" customHeight="1">
      <c r="A3" s="37" t="n"/>
      <c r="B3" s="38" t="inlineStr">
        <is>
          <t>Key Metrics</t>
        </is>
      </c>
      <c r="C3" s="38" t="n"/>
      <c r="D3" s="38" t="n"/>
      <c r="E3" s="38" t="n"/>
      <c r="F3" s="39" t="n"/>
      <c r="G3" s="38" t="inlineStr">
        <is>
          <t>Deal terms</t>
        </is>
      </c>
      <c r="H3" s="38" t="n"/>
      <c r="I3" s="38" t="n"/>
      <c r="J3" s="34" t="n"/>
      <c r="K3" s="40" t="n"/>
      <c r="L3" s="40" t="n"/>
      <c r="M3" s="40" t="n"/>
    </row>
    <row r="4" ht="15.75" customHeight="1">
      <c r="A4" s="34" t="n"/>
      <c r="B4" s="34" t="inlineStr">
        <is>
          <t>Cash received by rights holder</t>
        </is>
      </c>
      <c r="C4" s="34" t="n"/>
      <c r="D4" s="34" t="n"/>
      <c r="E4" s="41" t="n"/>
      <c r="F4" s="42" t="n"/>
      <c r="G4" s="42" t="inlineStr">
        <is>
          <t>Interest cost (annual)</t>
        </is>
      </c>
      <c r="I4" s="43" t="n"/>
      <c r="J4" s="36" t="n"/>
      <c r="K4" s="34" t="n"/>
      <c r="L4" s="34" t="n"/>
      <c r="M4" s="34" t="n"/>
    </row>
    <row r="5" ht="15.75" customHeight="1">
      <c r="A5" s="34" t="n"/>
      <c r="B5" s="44" t="inlineStr">
        <is>
          <t>Front facing IRR</t>
        </is>
      </c>
      <c r="C5" s="34" t="n"/>
      <c r="D5" s="34" t="n"/>
      <c r="E5" s="45" t="n"/>
      <c r="F5" s="34" t="n"/>
      <c r="G5" s="34" t="inlineStr">
        <is>
          <t>Catalog valuation</t>
        </is>
      </c>
      <c r="I5" s="46" t="n"/>
      <c r="K5" s="34" t="n"/>
      <c r="L5" s="34" t="n"/>
      <c r="M5" s="34" t="n"/>
    </row>
    <row r="6" ht="15.75" customHeight="1">
      <c r="A6" s="34" t="n"/>
      <c r="B6" s="42" t="inlineStr">
        <is>
          <t>Investor IRR</t>
        </is>
      </c>
      <c r="C6" s="34" t="n"/>
      <c r="D6" s="34" t="n"/>
      <c r="E6" s="45" t="n"/>
      <c r="F6" s="34" t="n"/>
      <c r="G6" s="34" t="inlineStr">
        <is>
          <t>RAS origination fees</t>
        </is>
      </c>
      <c r="H6" s="47" t="n"/>
      <c r="I6" s="46" t="n"/>
      <c r="K6" s="34" t="n"/>
      <c r="L6" s="34" t="n"/>
      <c r="M6" s="34" t="n"/>
    </row>
    <row r="7" ht="15.75" customHeight="1">
      <c r="A7" s="34" t="n"/>
      <c r="B7" s="34" t="n"/>
      <c r="C7" s="34" t="n"/>
      <c r="D7" s="34" t="n"/>
      <c r="E7" s="48" t="n"/>
      <c r="F7" s="47" t="n"/>
      <c r="G7" s="34" t="inlineStr">
        <is>
          <t>Payback period (months)</t>
        </is>
      </c>
      <c r="I7" s="46" t="n"/>
      <c r="K7" s="49" t="n"/>
      <c r="L7" s="34" t="n"/>
      <c r="M7" s="34" t="n"/>
    </row>
    <row r="8" ht="15.75" customHeight="1">
      <c r="A8" s="34" t="n"/>
      <c r="B8" s="34" t="n"/>
      <c r="C8" s="34" t="n"/>
      <c r="D8" s="34" t="n"/>
      <c r="E8" s="34" t="n"/>
      <c r="F8" s="34" t="n"/>
      <c r="G8" s="34" t="inlineStr">
        <is>
          <t>Payback period (years)</t>
        </is>
      </c>
      <c r="I8" s="48" t="n"/>
      <c r="K8" s="49" t="n"/>
      <c r="L8" s="34" t="n"/>
      <c r="M8" s="34" t="n"/>
    </row>
    <row r="9" ht="4.5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</row>
    <row r="10" ht="4.5" customHeight="1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</row>
    <row r="11" ht="31" customHeight="1">
      <c r="A11" s="50" t="inlineStr">
        <is>
          <t>Year</t>
        </is>
      </c>
      <c r="B11" s="50" t="inlineStr">
        <is>
          <t>Month</t>
        </is>
      </c>
      <c r="C11" s="51" t="n"/>
      <c r="D11" s="52" t="inlineStr">
        <is>
          <t>Date</t>
        </is>
      </c>
      <c r="E11" s="52" t="n"/>
      <c r="F11" s="51" t="n"/>
      <c r="G11" s="52" t="inlineStr">
        <is>
          <t>Loan Principal Brought Forward</t>
        </is>
      </c>
      <c r="H11" s="52" t="inlineStr">
        <is>
          <t>Income</t>
        </is>
      </c>
      <c r="I11" s="52" t="inlineStr">
        <is>
          <t>Interest</t>
        </is>
      </c>
      <c r="J11" s="52" t="inlineStr">
        <is>
          <t>Principal Repaid</t>
        </is>
      </c>
      <c r="K11" s="52" t="inlineStr">
        <is>
          <t>Loan Principal Carried Forward</t>
        </is>
      </c>
      <c r="L11" s="52" t="inlineStr">
        <is>
          <t>Free Cash Flow</t>
        </is>
      </c>
      <c r="M11" s="52" t="inlineStr">
        <is>
          <t>Gross IRR Flows</t>
        </is>
      </c>
    </row>
    <row r="12" ht="15.75" customHeight="1">
      <c r="A12" s="53" t="n"/>
      <c r="B12" s="53" t="n"/>
      <c r="C12" s="34" t="n"/>
      <c r="D12" s="54" t="n"/>
      <c r="E12" s="46" t="n"/>
      <c r="F12" s="34" t="n"/>
      <c r="G12" s="48" t="n"/>
      <c r="H12" s="48" t="n"/>
      <c r="I12" s="48" t="n"/>
      <c r="J12" s="48" t="n"/>
      <c r="K12" s="46" t="n"/>
      <c r="L12" s="46" t="n"/>
      <c r="M12" s="46" t="n"/>
    </row>
    <row r="13" ht="15.75" customHeight="1">
      <c r="A13" s="53" t="n"/>
      <c r="B13" s="53" t="n"/>
      <c r="C13" s="34" t="n"/>
      <c r="D13" s="55" t="n"/>
      <c r="E13" s="56" t="n"/>
      <c r="F13" s="34" t="n"/>
      <c r="G13" s="46" t="n"/>
      <c r="H13" s="46" t="n"/>
      <c r="I13" s="46" t="n"/>
      <c r="J13" s="46" t="n"/>
      <c r="K13" s="46" t="n"/>
      <c r="L13" s="57" t="n"/>
      <c r="M13" s="46" t="n"/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2026-05-28T20:20:00Z</dcterms:created>
  <dcterms:modified xmlns:dcterms="http://purl.org/dc/terms/" xmlns:xsi="http://www.w3.org/2001/XMLSchema-instance" xsi:type="dcterms:W3CDTF">2026-06-02T03:56:57Z</dcterms:modified>
</cp:coreProperties>
</file>